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ratbabu.thokala\Downloads\"/>
    </mc:Choice>
  </mc:AlternateContent>
  <xr:revisionPtr revIDLastSave="0" documentId="13_ncr:1_{E0510E04-783F-4FDF-A0D3-1A3E4375E34D}" xr6:coauthVersionLast="47" xr6:coauthVersionMax="47" xr10:uidLastSave="{00000000-0000-0000-0000-000000000000}"/>
  <bookViews>
    <workbookView xWindow="-110" yWindow="-110" windowWidth="19420" windowHeight="10300" tabRatio="500" activeTab="5" xr2:uid="{00000000-000D-0000-FFFF-FFFF00000000}"/>
  </bookViews>
  <sheets>
    <sheet name="📋 Project Overview" sheetId="1" r:id="rId1"/>
    <sheet name="📚 Learning Plan" sheetId="2" r:id="rId2"/>
    <sheet name="📅 Weekly Timeline" sheetId="3" r:id="rId3"/>
    <sheet name="⏱ Hours &amp; Cost" sheetId="4" r:id="rId4"/>
    <sheet name="⚠️ Risk Register" sheetId="6" r:id="rId5"/>
    <sheet name="🗓 Training Calendar" sheetId="7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6" l="1"/>
  <c r="F13" i="6"/>
  <c r="F12" i="6"/>
  <c r="F11" i="6"/>
  <c r="F10" i="6"/>
  <c r="F9" i="6"/>
  <c r="F8" i="6"/>
  <c r="F7" i="6"/>
  <c r="F6" i="6"/>
  <c r="F5" i="6"/>
  <c r="L37" i="4"/>
  <c r="K37" i="4"/>
  <c r="J37" i="4"/>
  <c r="H37" i="4"/>
  <c r="F37" i="4"/>
  <c r="D37" i="4"/>
  <c r="L36" i="4"/>
  <c r="K36" i="4"/>
  <c r="L35" i="4"/>
  <c r="K35" i="4"/>
  <c r="L34" i="4"/>
  <c r="K34" i="4"/>
  <c r="L33" i="4"/>
  <c r="K33" i="4"/>
  <c r="L32" i="4"/>
  <c r="K32" i="4"/>
  <c r="L31" i="4"/>
  <c r="K31" i="4"/>
  <c r="L30" i="4"/>
  <c r="K30" i="4"/>
  <c r="L29" i="4"/>
  <c r="K29" i="4"/>
  <c r="L28" i="4"/>
  <c r="K28" i="4"/>
  <c r="L27" i="4"/>
  <c r="K27" i="4"/>
  <c r="L26" i="4"/>
  <c r="K26" i="4"/>
  <c r="L25" i="4"/>
  <c r="K25" i="4"/>
  <c r="L24" i="4"/>
  <c r="K24" i="4"/>
  <c r="L23" i="4"/>
  <c r="K23" i="4"/>
  <c r="L22" i="4"/>
  <c r="K22" i="4"/>
  <c r="L21" i="4"/>
  <c r="K21" i="4"/>
  <c r="L20" i="4"/>
  <c r="K20" i="4"/>
  <c r="L19" i="4"/>
  <c r="K19" i="4"/>
  <c r="L18" i="4"/>
  <c r="K18" i="4"/>
  <c r="L17" i="4"/>
  <c r="K17" i="4"/>
  <c r="L16" i="4"/>
  <c r="K16" i="4"/>
  <c r="L15" i="4"/>
  <c r="K15" i="4"/>
  <c r="L14" i="4"/>
  <c r="K14" i="4"/>
  <c r="L13" i="4"/>
  <c r="K13" i="4"/>
  <c r="J29" i="3"/>
  <c r="I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E44" i="2"/>
</calcChain>
</file>

<file path=xl/sharedStrings.xml><?xml version="1.0" encoding="utf-8"?>
<sst xmlns="http://schemas.openxmlformats.org/spreadsheetml/2006/main" count="777" uniqueCount="474">
  <si>
    <t>SAYS (Service At Your Step) – Fresher Team Project Plan</t>
  </si>
  <si>
    <t>Manager's Estimation &amp; Recruitment Planning Dashboard  |  VBLP Tech Solutions Pvt. Ltd</t>
  </si>
  <si>
    <t>▶  PROJECT CONFIGURATION  (Edit yellow cells)</t>
  </si>
  <si>
    <t>Project Start Date</t>
  </si>
  <si>
    <t>YYYY-MM-DD</t>
  </si>
  <si>
    <t>Total Freshers</t>
  </si>
  <si>
    <t>1 = Backend, 1 = Frontend, 1 = QA</t>
  </si>
  <si>
    <t>Experienced Mentors</t>
  </si>
  <si>
    <t>Senior Dev + Tech Lead</t>
  </si>
  <si>
    <t>Mentor Weekday Hours/day</t>
  </si>
  <si>
    <t>Hours per fresher per weekday</t>
  </si>
  <si>
    <t>Mentor Weekend Hours/day</t>
  </si>
  <si>
    <t>Hours per fresher per weekend day</t>
  </si>
  <si>
    <t>Fresher Working Hrs/day</t>
  </si>
  <si>
    <t>Standard work hours</t>
  </si>
  <si>
    <t>Work Days per Week</t>
  </si>
  <si>
    <t>Mon-Fri</t>
  </si>
  <si>
    <t>Weekend Days per Week</t>
  </si>
  <si>
    <t>Sat-Sun</t>
  </si>
  <si>
    <t>▶  TEAM MEMBERS</t>
  </si>
  <si>
    <t>Name</t>
  </si>
  <si>
    <t>Role</t>
  </si>
  <si>
    <t>Type</t>
  </si>
  <si>
    <t>Start Date</t>
  </si>
  <si>
    <t>Skills to Learn</t>
  </si>
  <si>
    <t>Monthly Cost (₹)</t>
  </si>
  <si>
    <t>Backend Developer (Node.js)</t>
  </si>
  <si>
    <t>Fresher</t>
  </si>
  <si>
    <t>Node.js, Express, MongoDB, REST APIs, JWT, Socket.IO</t>
  </si>
  <si>
    <t>Frontend / Flutter Developer</t>
  </si>
  <si>
    <t>Flutter, Dart, Firebase, UI/UX, Google Maps SDK</t>
  </si>
  <si>
    <t>QA / Testing Engineer</t>
  </si>
  <si>
    <t>Manual Testing, Postman, Jest, Appium, Accessibility</t>
  </si>
  <si>
    <t>Tech Lead / Senior Dev</t>
  </si>
  <si>
    <t>Experienced</t>
  </si>
  <si>
    <t>All stack – Mentoring &amp; Architecture review</t>
  </si>
  <si>
    <t>Senior Backend Engineer</t>
  </si>
  <si>
    <t>Node.js, AWS, DevOps, AI IVR – Code reviews</t>
  </si>
  <si>
    <t>▶  COLOUR LEGEND</t>
  </si>
  <si>
    <t>Editable Input Cell</t>
  </si>
  <si>
    <t>Fresher Team Member</t>
  </si>
  <si>
    <t>Experienced Mentor</t>
  </si>
  <si>
    <t>Risk / Issue</t>
  </si>
  <si>
    <t>Completed / On-track</t>
  </si>
  <si>
    <t>SAYS Project – Technology Learning Plan (Weeks 1–8)</t>
  </si>
  <si>
    <t>Freshers must complete learning tracks BEFORE or PARALLEL to development.  Experienced mentors guide during daily half-hour (weekday) / 1-hour (weekend) sessions.</t>
  </si>
  <si>
    <t>Week</t>
  </si>
  <si>
    <t>Phase</t>
  </si>
  <si>
    <t>Technology / Topic</t>
  </si>
  <si>
    <t>Assigned To</t>
  </si>
  <si>
    <t>Learning Hours</t>
  </si>
  <si>
    <t>Resources / Tools</t>
  </si>
  <si>
    <t>Key Outcome</t>
  </si>
  <si>
    <t>Mentor Session?</t>
  </si>
  <si>
    <t>Complexity</t>
  </si>
  <si>
    <t>Priority</t>
  </si>
  <si>
    <t>Pre-Dev</t>
  </si>
  <si>
    <t>Git &amp; Version Control</t>
  </si>
  <si>
    <t>All 3 Freshers</t>
  </si>
  <si>
    <t>GitHub Docs, freeCodeCamp</t>
  </si>
  <si>
    <t>Repo setup, branching, PRs</t>
  </si>
  <si>
    <t>Yes</t>
  </si>
  <si>
    <t>Low</t>
  </si>
  <si>
    <t>🔴 Critical</t>
  </si>
  <si>
    <t>VS Code &amp; Dev Environment Setup</t>
  </si>
  <si>
    <t>Official docs</t>
  </si>
  <si>
    <t>IDE ready, extensions installed</t>
  </si>
  <si>
    <t>REST API Concepts</t>
  </si>
  <si>
    <t>Ravi (Backend)</t>
  </si>
  <si>
    <t>Postman Learning Center</t>
  </si>
  <si>
    <t>Understand GET/POST/PUT/DELETE</t>
  </si>
  <si>
    <t>Flutter Installation &amp; Dart Basics</t>
  </si>
  <si>
    <t>Priya (Frontend)</t>
  </si>
  <si>
    <t>Flutter.dev</t>
  </si>
  <si>
    <t>App runs on emulator</t>
  </si>
  <si>
    <t>Software Testing Fundamentals</t>
  </si>
  <si>
    <t>Arjun (QA)</t>
  </si>
  <si>
    <t>ISTQB Foundation free course</t>
  </si>
  <si>
    <t>Test case writing</t>
  </si>
  <si>
    <t>Node.js Fundamentals</t>
  </si>
  <si>
    <t>Node.js official docs, Traversy Media</t>
  </si>
  <si>
    <t>Build simple HTTP server</t>
  </si>
  <si>
    <t>Medium</t>
  </si>
  <si>
    <t>Express.js Framework</t>
  </si>
  <si>
    <t>Express.js docs</t>
  </si>
  <si>
    <t>Create REST endpoints</t>
  </si>
  <si>
    <t>Dart Language Deep Dive</t>
  </si>
  <si>
    <t>Dart.dev tours</t>
  </si>
  <si>
    <t>OOP in Dart, null safety</t>
  </si>
  <si>
    <t>Flutter Widgets &amp; Layouts</t>
  </si>
  <si>
    <t>Flutter cookbook</t>
  </si>
  <si>
    <t>Build basic screens</t>
  </si>
  <si>
    <t>Postman API Testing</t>
  </si>
  <si>
    <t>Postman Academy</t>
  </si>
  <si>
    <t>Test existing APIs</t>
  </si>
  <si>
    <t>🟠 High</t>
  </si>
  <si>
    <t>MongoDB Basics</t>
  </si>
  <si>
    <t>MongoDB University M001</t>
  </si>
  <si>
    <t>CRUD operations</t>
  </si>
  <si>
    <t>Mongoose ODM</t>
  </si>
  <si>
    <t>Mongoose docs</t>
  </si>
  <si>
    <t>Schema modeling</t>
  </si>
  <si>
    <t>Flutter Navigation &amp; State</t>
  </si>
  <si>
    <t>Flutter docs – Navigation</t>
  </si>
  <si>
    <t>Multi-screen app</t>
  </si>
  <si>
    <t>Firebase Integration (Flutter)</t>
  </si>
  <si>
    <t>Firebase codelab</t>
  </si>
  <si>
    <t>Auth &amp; Firestore basics</t>
  </si>
  <si>
    <t>Test Case Design Techniques</t>
  </si>
  <si>
    <t>ISTQB, YouTube</t>
  </si>
  <si>
    <t>BVA, EP, decision tables</t>
  </si>
  <si>
    <t>JWT Authentication</t>
  </si>
  <si>
    <t>Auth0 blog, YouTube</t>
  </si>
  <si>
    <t>Secure login endpoint</t>
  </si>
  <si>
    <t>Firebase Auth &amp; OTP</t>
  </si>
  <si>
    <t>Firebase docs</t>
  </si>
  <si>
    <t>OTP login working</t>
  </si>
  <si>
    <t>Flutter Forms &amp; Validation</t>
  </si>
  <si>
    <t>Flutter docs</t>
  </si>
  <si>
    <t>Login/Register form</t>
  </si>
  <si>
    <t>Google Maps SDK (Flutter)</t>
  </si>
  <si>
    <t>Google Maps Flutter plugin</t>
  </si>
  <si>
    <t>Map renders in app</t>
  </si>
  <si>
    <t>High</t>
  </si>
  <si>
    <t>Mobile Testing &amp; Appium Intro</t>
  </si>
  <si>
    <t>Appium docs, YouTube</t>
  </si>
  <si>
    <t>Setup Appium env</t>
  </si>
  <si>
    <t>🟡 Medium</t>
  </si>
  <si>
    <t>Dev Phase</t>
  </si>
  <si>
    <t>Socket.IO Real-Time</t>
  </si>
  <si>
    <t>Socket.IO docs</t>
  </si>
  <si>
    <t>Live tracking events</t>
  </si>
  <si>
    <t>Stripe Payment Integration</t>
  </si>
  <si>
    <t>Stripe docs</t>
  </si>
  <si>
    <t>Test payment flow</t>
  </si>
  <si>
    <t>Flutter Provider / Riverpod</t>
  </si>
  <si>
    <t>riverpod.dev</t>
  </si>
  <si>
    <t>State management</t>
  </si>
  <si>
    <t>Flutter – Real-time Socket client</t>
  </si>
  <si>
    <t>socket_io_client pub.dev</t>
  </si>
  <si>
    <t>Live GPS map update</t>
  </si>
  <si>
    <t>API Automation (Jest / Supertest)</t>
  </si>
  <si>
    <t>Jest docs, Supertest GitHub</t>
  </si>
  <si>
    <t>Automate booking API</t>
  </si>
  <si>
    <t>Twilio Voice &amp; IVR</t>
  </si>
  <si>
    <t>Twilio docs, quickstart</t>
  </si>
  <si>
    <t>Receive incoming call</t>
  </si>
  <si>
    <t>OpenAI API Integration</t>
  </si>
  <si>
    <t>OpenAI API docs</t>
  </si>
  <si>
    <t>AI responds to prompts</t>
  </si>
  <si>
    <t>Flutter Notifications (FCM)</t>
  </si>
  <si>
    <t>Firebase Cloud Messaging</t>
  </si>
  <si>
    <t>Push notification received</t>
  </si>
  <si>
    <t>Flutter Accessibility (Elder UI)</t>
  </si>
  <si>
    <t>Flutter a11y docs</t>
  </si>
  <si>
    <t>Large text, contrast pass</t>
  </si>
  <si>
    <t>Performance &amp; Load Testing</t>
  </si>
  <si>
    <t>k6 / JMeter free</t>
  </si>
  <si>
    <t>1000 user load test</t>
  </si>
  <si>
    <t>AWS EC2 &amp; Deployment Basics</t>
  </si>
  <si>
    <t>AWS Free Tier, tutorials</t>
  </si>
  <si>
    <t>Backend live on EC2</t>
  </si>
  <si>
    <t>Docker Fundamentals</t>
  </si>
  <si>
    <t>Docker Docs</t>
  </si>
  <si>
    <t>Containerise Node app</t>
  </si>
  <si>
    <t>Flutter Build &amp; Play Store Prep</t>
  </si>
  <si>
    <t>Flutter deployment guide</t>
  </si>
  <si>
    <t>APK / AAB generated</t>
  </si>
  <si>
    <t>Security Testing Basics</t>
  </si>
  <si>
    <t>OWASP Top 10, Burp Community</t>
  </si>
  <si>
    <t>Auth vulnerability check</t>
  </si>
  <si>
    <t>Elder Usability Testing Methods</t>
  </si>
  <si>
    <t>Nielsen Norman Group articles</t>
  </si>
  <si>
    <t>Usability test script</t>
  </si>
  <si>
    <t>Integration</t>
  </si>
  <si>
    <t>CI/CD with GitHub Actions</t>
  </si>
  <si>
    <t>All (guided)</t>
  </si>
  <si>
    <t>4 each</t>
  </si>
  <si>
    <t>GitHub Actions docs</t>
  </si>
  <si>
    <t>Auto deploy on push</t>
  </si>
  <si>
    <t>End-to-End Test Rehearsal</t>
  </si>
  <si>
    <t>8 each</t>
  </si>
  <si>
    <t>Internal test plan</t>
  </si>
  <si>
    <t>Full booking flow tested</t>
  </si>
  <si>
    <t>AI IVR Full Workflow Test</t>
  </si>
  <si>
    <t>Ravi + Arjun</t>
  </si>
  <si>
    <t>Internal doc</t>
  </si>
  <si>
    <t>Voice booking works</t>
  </si>
  <si>
    <t>TOTAL LEARNING HOURS (approx.)</t>
  </si>
  <si>
    <t>SAYS Project – 24-Week Master Development Timeline (Fresher Team with Mentoring)</t>
  </si>
  <si>
    <t>Original SAYS doc estimates 3-month MVP for experienced team. With freshers + mentoring, realistic timeline is 24 weeks (6 months).</t>
  </si>
  <si>
    <t>Main Activities</t>
  </si>
  <si>
    <t>Ravi – Backend Tasks</t>
  </si>
  <si>
    <t>Priya – Frontend Tasks</t>
  </si>
  <si>
    <t>Arjun – QA Tasks</t>
  </si>
  <si>
    <t>Mentor Focus</t>
  </si>
  <si>
    <t>Fresher Hrs</t>
  </si>
  <si>
    <t>Mentor Hrs</t>
  </si>
  <si>
    <t>Cumul. Hrs</t>
  </si>
  <si>
    <t>Status</t>
  </si>
  <si>
    <t>Key Deliverable</t>
  </si>
  <si>
    <t>Risk</t>
  </si>
  <si>
    <t>🎓 Learning</t>
  </si>
  <si>
    <t>Git, Dev setup, REST intro</t>
  </si>
  <si>
    <t>Git + Node.js env setup</t>
  </si>
  <si>
    <t>Flutter install + Dart basics</t>
  </si>
  <si>
    <t>Testing fundamentals</t>
  </si>
  <si>
    <t>Git workflow, project structure</t>
  </si>
  <si>
    <t>Dev environments ready</t>
  </si>
  <si>
    <t>Core backend &amp; frontend frameworks</t>
  </si>
  <si>
    <t>Node.js + Express basics</t>
  </si>
  <si>
    <t>Dart OOP + Flutter widgets</t>
  </si>
  <si>
    <t>Postman API exploration</t>
  </si>
  <si>
    <t>Code review first Node API</t>
  </si>
  <si>
    <t>⬜ Planned</t>
  </si>
  <si>
    <t>Basic screens + API endpoints</t>
  </si>
  <si>
    <t>Database + state management</t>
  </si>
  <si>
    <t>MongoDB CRUD + Mongoose</t>
  </si>
  <si>
    <t>Flutter Navigation + Firebase</t>
  </si>
  <si>
    <t>Test case design</t>
  </si>
  <si>
    <t>DB schema review</t>
  </si>
  <si>
    <t>DB connected; multi-screen app</t>
  </si>
  <si>
    <t>Auth + maps + mobile testing</t>
  </si>
  <si>
    <t>JWT + Firebase OTP</t>
  </si>
  <si>
    <t>Google Maps Flutter</t>
  </si>
  <si>
    <t>Appium setup</t>
  </si>
  <si>
    <t>Auth flow review</t>
  </si>
  <si>
    <t>Login/OTP working end-to-end</t>
  </si>
  <si>
    <t>Real-time + payments + auto testing</t>
  </si>
  <si>
    <t>Socket.IO + Stripe</t>
  </si>
  <si>
    <t>Provider/Riverpod + Socket client</t>
  </si>
  <si>
    <t>Jest API automation</t>
  </si>
  <si>
    <t>Architecture design session</t>
  </si>
  <si>
    <t>Payment flow + live tracking</t>
  </si>
  <si>
    <t>AI IVR + notifications + perf testing</t>
  </si>
  <si>
    <t>Twilio + OpenAI APIs</t>
  </si>
  <si>
    <t>FCM + Elder-friendly UI</t>
  </si>
  <si>
    <t>Load testing with k6</t>
  </si>
  <si>
    <t>AI call workflow walkthrough</t>
  </si>
  <si>
    <t>AI IVR receives call + responds</t>
  </si>
  <si>
    <t>Deployment + security</t>
  </si>
  <si>
    <t>AWS EC2 + Docker</t>
  </si>
  <si>
    <t>App build + Play Store prep</t>
  </si>
  <si>
    <t>Security testing (OWASP)</t>
  </si>
  <si>
    <t>Deployment strategy review</t>
  </si>
  <si>
    <t>CI/CD + end-to-end rehearsal</t>
  </si>
  <si>
    <t>GitHub Actions setup</t>
  </si>
  <si>
    <t>Flutter CI integration</t>
  </si>
  <si>
    <t>E2E test scenarios</t>
  </si>
  <si>
    <t>Full system walkthrough</t>
  </si>
  <si>
    <t>CI/CD pipeline green</t>
  </si>
  <si>
    <t>🔨 Dev</t>
  </si>
  <si>
    <t>User Auth System</t>
  </si>
  <si>
    <t>POST /register /login /verify-otp</t>
  </si>
  <si>
    <t>Login + Registration screens</t>
  </si>
  <si>
    <t>Auth API test suite</t>
  </si>
  <si>
    <t>Code review auth module</t>
  </si>
  <si>
    <t>Working OTP login</t>
  </si>
  <si>
    <t>Booking System Backend</t>
  </si>
  <si>
    <t>POST /book-service, booking DB</t>
  </si>
  <si>
    <t>Service category listing UI</t>
  </si>
  <si>
    <t>Booking flow test cases</t>
  </si>
  <si>
    <t>Booking logic review</t>
  </si>
  <si>
    <t>End-to-end booking created</t>
  </si>
  <si>
    <t>Provider Management APIs</t>
  </si>
  <si>
    <t>GET /available-providers, matching algo</t>
  </si>
  <si>
    <t>Provider profile screens</t>
  </si>
  <si>
    <t>Provider API tests</t>
  </si>
  <si>
    <t>Provider matching algorithm</t>
  </si>
  <si>
    <t>Auto-assign provider logic</t>
  </si>
  <si>
    <t>GPS Tracking + Real-time</t>
  </si>
  <si>
    <t>Socket.IO tracking events</t>
  </si>
  <si>
    <t>Google Maps live tracking</t>
  </si>
  <si>
    <t>Real-time tracking tests</t>
  </si>
  <si>
    <t>Performance of Socket.IO</t>
  </si>
  <si>
    <t>Provider location on map</t>
  </si>
  <si>
    <t>Payment Integration</t>
  </si>
  <si>
    <t>Stripe /create-payment /verify</t>
  </si>
  <si>
    <t>Payment screens + receipt UI</t>
  </si>
  <si>
    <t>Payment flow tests</t>
  </si>
  <si>
    <t>Stripe test mode review</t>
  </si>
  <si>
    <t>Test payment successful</t>
  </si>
  <si>
    <t>AI IVR System</t>
  </si>
  <si>
    <t>Twilio + OpenAI + call routing</t>
  </si>
  <si>
    <t>Voice booking indicator UI</t>
  </si>
  <si>
    <t>IVR call flow tests</t>
  </si>
  <si>
    <t>AI conversation tuning</t>
  </si>
  <si>
    <t>Voice call books a service</t>
  </si>
  <si>
    <t>Very High</t>
  </si>
  <si>
    <t>Notifications + Admin Dashboard</t>
  </si>
  <si>
    <t>Firebase push + SMS Twilio</t>
  </si>
  <si>
    <t>Notification UI + Admin web views</t>
  </si>
  <si>
    <t>Notification delivery tests</t>
  </si>
  <si>
    <t>Admin dash review</t>
  </si>
  <si>
    <t>Admin can manage bookings</t>
  </si>
  <si>
    <t>Elder-Friendly UI Polish</t>
  </si>
  <si>
    <t>–</t>
  </si>
  <si>
    <t>Large fonts, contrast, big buttons</t>
  </si>
  <si>
    <t>Accessibility audit (WCAG)</t>
  </si>
  <si>
    <t>Accessibility review session</t>
  </si>
  <si>
    <t>WCAG AA pass</t>
  </si>
  <si>
    <t>🧪 Testing</t>
  </si>
  <si>
    <t>System Integration Testing</t>
  </si>
  <si>
    <t>Fix backend bugs</t>
  </si>
  <si>
    <t>Fix UI bugs</t>
  </si>
  <si>
    <t>Full regression suite</t>
  </si>
  <si>
    <t>Daily 45-min bug triage</t>
  </si>
  <si>
    <t>Stable integrated build</t>
  </si>
  <si>
    <t>Elder Usability Testing</t>
  </si>
  <si>
    <t>Backend fixes</t>
  </si>
  <si>
    <t>UI adjustments from sessions</t>
  </si>
  <si>
    <t>Run usability sessions</t>
  </si>
  <si>
    <t>Observe + guide sessions</t>
  </si>
  <si>
    <t>5 elder users tested</t>
  </si>
  <si>
    <t>Security &amp; Performance Testing</t>
  </si>
  <si>
    <t>Security fixes</t>
  </si>
  <si>
    <t>Security + load test results</t>
  </si>
  <si>
    <t>Security review</t>
  </si>
  <si>
    <t>No critical vulnerabilities</t>
  </si>
  <si>
    <t>🚀 Deploy</t>
  </si>
  <si>
    <t>AWS Deployment + MongoDB Atlas</t>
  </si>
  <si>
    <t>Deploy EC2 + Atlas setup</t>
  </si>
  <si>
    <t>Smoke test on production</t>
  </si>
  <si>
    <t>Deployment supervision</t>
  </si>
  <si>
    <t>Production env live</t>
  </si>
  <si>
    <t>App Store Preparation</t>
  </si>
  <si>
    <t>Build APK/AAB + store listing</t>
  </si>
  <si>
    <t>App store smoke tests</t>
  </si>
  <si>
    <t>Play Store review guidance</t>
  </si>
  <si>
    <t>Apps submitted to stores</t>
  </si>
  <si>
    <t>CI/CD + Docker Finalise</t>
  </si>
  <si>
    <t>GitHub Actions + Docker</t>
  </si>
  <si>
    <t>Pipeline test</t>
  </si>
  <si>
    <t>CI/CD architecture review</t>
  </si>
  <si>
    <t>Auto-deploy on merge</t>
  </si>
  <si>
    <t>Soft Launch + Bug Fix</t>
  </si>
  <si>
    <t>Monitor backend logs</t>
  </si>
  <si>
    <t>Monitor app</t>
  </si>
  <si>
    <t>Production monitoring</t>
  </si>
  <si>
    <t>Daily check-in</t>
  </si>
  <si>
    <t>Live MVP with 50 users</t>
  </si>
  <si>
    <t>Launch Stabilisation</t>
  </si>
  <si>
    <t>Performance tuning</t>
  </si>
  <si>
    <t>UI final tweaks</t>
  </si>
  <si>
    <t>Production test suite</t>
  </si>
  <si>
    <t>Sign-off review</t>
  </si>
  <si>
    <t>Full MVP accepted</t>
  </si>
  <si>
    <t>TOTALS</t>
  </si>
  <si>
    <t>SAYS – Weekly Hours Logged &amp; Cost Estimation</t>
  </si>
  <si>
    <t>Track actual hours each week. Edit orange cells for actuals. All cost cells auto-calculate.</t>
  </si>
  <si>
    <t>HOURLY RATE ASSUMPTIONS (Edit yellow)</t>
  </si>
  <si>
    <t>Ravi – Backend (Fresher)</t>
  </si>
  <si>
    <t>per hour (editable)</t>
  </si>
  <si>
    <t>Priya – Frontend (Fresher)</t>
  </si>
  <si>
    <t>Arjun – QA (Fresher)</t>
  </si>
  <si>
    <t>Sneha – Tech Lead (Exp.)</t>
  </si>
  <si>
    <t>Vikram – Sr. Backend (Exp.)</t>
  </si>
  <si>
    <t>Ravi Hrs (Planned)</t>
  </si>
  <si>
    <t>Ravi Hrs (Actual)</t>
  </si>
  <si>
    <t>Priya Hrs (Planned)</t>
  </si>
  <si>
    <t>Priya Hrs (Actual)</t>
  </si>
  <si>
    <t>Arjun Hrs (Planned)</t>
  </si>
  <si>
    <t>Arjun Hrs (Actual)</t>
  </si>
  <si>
    <t>Mentor Hrs (Total)</t>
  </si>
  <si>
    <t>Total Fresher Hrs</t>
  </si>
  <si>
    <t>Est. Cost (₹)</t>
  </si>
  <si>
    <t>GRAND TOTAL</t>
  </si>
  <si>
    <t>Project Manager</t>
  </si>
  <si>
    <t>SAYS – Risk Register</t>
  </si>
  <si>
    <t>Risk Description</t>
  </si>
  <si>
    <t>Probability (1-5)</t>
  </si>
  <si>
    <t>Impact (1-5)</t>
  </si>
  <si>
    <t>Risk Score</t>
  </si>
  <si>
    <t>Mitigation Strategy</t>
  </si>
  <si>
    <t>Owner</t>
  </si>
  <si>
    <t>Week Identified</t>
  </si>
  <si>
    <t>Freshers take longer to learn Node.js / Flutter than planned</t>
  </si>
  <si>
    <t>Weekly assessment tests; 2-week buffer in learning phase</t>
  </si>
  <si>
    <t>Tech Lead</t>
  </si>
  <si>
    <t>🟡 Monitor</t>
  </si>
  <si>
    <t>AI IVR integration (Twilio + OpenAI) too complex for freshers</t>
  </si>
  <si>
    <t>Experienced mentor leads AI module; fresher assists only</t>
  </si>
  <si>
    <t>🔴 High</t>
  </si>
  <si>
    <t>Elder usability testing not organised in time</t>
  </si>
  <si>
    <t>Recruit 10 elder test users by Week 10</t>
  </si>
  <si>
    <t>Scope creep (client adds features mid-development)</t>
  </si>
  <si>
    <t>Strict MVP boundary; change control process</t>
  </si>
  <si>
    <t>AWS / Cloud costs exceed budget</t>
  </si>
  <si>
    <t>Use AWS Free Tier in dev; budget alert at 80%</t>
  </si>
  <si>
    <t>DevOps Engineer</t>
  </si>
  <si>
    <t>⬜ Low</t>
  </si>
  <si>
    <t>Mentor not available for daily sessions</t>
  </si>
  <si>
    <t>Async code review via GitHub; recorded sessions</t>
  </si>
  <si>
    <t>Security vulnerabilities (auth / payment)</t>
  </si>
  <si>
    <t>OWASP checklist; Stripe test mode; JWT refresh tokens</t>
  </si>
  <si>
    <t>QA + Backend</t>
  </si>
  <si>
    <t>App Store rejection (Play Store / App Store)</t>
  </si>
  <si>
    <t>Follow store guidelines from Week 7; test AAB format</t>
  </si>
  <si>
    <t>Flutter Dev</t>
  </si>
  <si>
    <t>Performance issues at scale (Socket.IO)</t>
  </si>
  <si>
    <t>Load test with k6 in Week 19; Redis for socket scaling</t>
  </si>
  <si>
    <t>Backend Dev</t>
  </si>
  <si>
    <t>Fresher burnout due to steep learning curve</t>
  </si>
  <si>
    <t>Regular 1:1 check-ins; pair programming sessions</t>
  </si>
  <si>
    <t>SAYS – 8-Week Technology Training Calendar (Fresher-wise)</t>
  </si>
  <si>
    <t>Each cell shows the topic being studied that week.  🔵 = Ravi (Backend)  🟠 = Priya (Frontend)  🟢 = Arjun (QA)  All = Everyone</t>
  </si>
  <si>
    <t>Mon–Tue</t>
  </si>
  <si>
    <t>Wed</t>
  </si>
  <si>
    <t>Thu</t>
  </si>
  <si>
    <t>Fri</t>
  </si>
  <si>
    <t>Sat (Weekend)</t>
  </si>
  <si>
    <t>Sun (Weekend)</t>
  </si>
  <si>
    <t>Mentor Session</t>
  </si>
  <si>
    <t>All: Git + Dev Setup</t>
  </si>
  <si>
    <t>All: REST intro</t>
  </si>
  <si>
    <t>🔵 Node.js basics
🟠 Dart basics
🟢 Test fundaments</t>
  </si>
  <si>
    <t>🔵 Express intro
🟠 Flutter setup
🟢 Postman</t>
  </si>
  <si>
    <t>🔵 Express CRUD
🟠 Flutter widgets
🟢 Test cases</t>
  </si>
  <si>
    <t>Mentor: Project structure, coding standards</t>
  </si>
  <si>
    <t>🔵 Node.js deep
🟠 Flutter layout
🟢 Postman API</t>
  </si>
  <si>
    <t>🔵 Node.js async
🟠 Flutter forms
🟢 API exploration</t>
  </si>
  <si>
    <t>🔵 Express Router
🟠 Flutter state
🟢 Equivalence part</t>
  </si>
  <si>
    <t>🔵 Express Router
🟠 Flutter state
🟢 Boundary testing</t>
  </si>
  <si>
    <t>🔵 MongoDB intro
🟠 Dart OOP
🟢 Test case writing</t>
  </si>
  <si>
    <t>🔵 MongoDB CRUD
🟠 Flutter Nav
🟢 Bug reporting</t>
  </si>
  <si>
    <t>Mentor: Review first API + first screen</t>
  </si>
  <si>
    <t>🔵 Mongoose ODM
🟠 Firebase Auth
🟢 Test design</t>
  </si>
  <si>
    <t>🔵 Mongoose ODM
🟠 Firebase Firestore
🟢 Test design</t>
  </si>
  <si>
    <t>🔵 Schema design
🟠 Flutter Nav deep
🟢 Test execution</t>
  </si>
  <si>
    <t>🔵 Schema relations
🟠 State management
🟢 Defect mgmt</t>
  </si>
  <si>
    <t>🔵 Aggregation
🟠 Firebase OTP
🟢 Appium intro</t>
  </si>
  <si>
    <t>🔵 Index + query opt
🟠 Flutter advanced
🟢 Appium setup</t>
  </si>
  <si>
    <t>Mentor: DB schema review + test plan review</t>
  </si>
  <si>
    <t>🔵 JWT Auth
🟠 Google Maps
🟢 Appium scripting</t>
  </si>
  <si>
    <t>🔵 JWT middleware
🟠 Maps markers
🟢 Mobile test cases</t>
  </si>
  <si>
    <t>🔵 Firebase OTP
🟠 Location perms
🟢 Mobile automation</t>
  </si>
  <si>
    <t>🔵 Role management
🟠 Maps + tracking
🟢 CI test basics</t>
  </si>
  <si>
    <t>🔵 Session handling
🟠 Map customise
🟢 Test reporting</t>
  </si>
  <si>
    <t>🔵 Auth testing
🟠 UX polish
🟢 Regression suite</t>
  </si>
  <si>
    <t>Mentor: Auth flow end-to-end demo</t>
  </si>
  <si>
    <t>🔵 Socket.IO
🟠 Provider/Riverpod
🟢 Jest intro</t>
  </si>
  <si>
    <t>🔵 Socket events
🟠 Socket client Flutter
🟢 Jest API tests</t>
  </si>
  <si>
    <t>🔵 Stripe integration
🟠 Payment UI
🟢 Payment test cases</t>
  </si>
  <si>
    <t>🔵 Stripe webhooks
🟠 Booking flow UI
🟢 End-to-end tests</t>
  </si>
  <si>
    <t>🔵 Stripe testing
🟠 Booking history
🟢 Load test intro (k6)</t>
  </si>
  <si>
    <t>🔵 Real-time review
🟠 UI consistency
🟢 k6 script writing</t>
  </si>
  <si>
    <t>Mentor: Payment + real-time architecture</t>
  </si>
  <si>
    <t>🔵 Twilio setup
🟠 FCM notifications
🟢 Load testing</t>
  </si>
  <si>
    <t>🔵 IVR call flow
🟠 Notification UI
🟢 Performance report</t>
  </si>
  <si>
    <t>🔵 OpenAI API
🟠 Elder UI: fonts
🟢 Security (OWASP)</t>
  </si>
  <si>
    <t>🔵 AI prompts
🟠 Elder UI: contrast
🟢 Security checklist</t>
  </si>
  <si>
    <t>🔵 AI IVR test calls
🟠 Elder: big buttons
🟢 Accessibility test</t>
  </si>
  <si>
    <t>🔵 Call routing
🟠 Voice UX
🟢 WCAG audit</t>
  </si>
  <si>
    <t>Mentor: AI IVR architecture deep-dive</t>
  </si>
  <si>
    <t>🔵 AWS EC2 setup
🟠 Flutter build APK
🟢 Sec testing</t>
  </si>
  <si>
    <t>🔵 Docker intro
🟠 App store prep
🟢 Vuln reporting</t>
  </si>
  <si>
    <t>🔵 Docker Node.js
🟠 Store listing
🟢 Pen test basics</t>
  </si>
  <si>
    <t>🔵 Env config
🟠 Screenshots
🟢 Security fixes</t>
  </si>
  <si>
    <t>🔵 Nginx basics
🟠 App build test
🟢 Regression run</t>
  </si>
  <si>
    <t>🔵 MongoDB Atlas
🟠 iOS build
🟢 QA sign-off</t>
  </si>
  <si>
    <t>Mentor: Deployment walkthrough + store submission</t>
  </si>
  <si>
    <t>All: GitHub Actions
 CI/CD setup</t>
  </si>
  <si>
    <t>All: Docker compose
Multi-container</t>
  </si>
  <si>
    <t>🔵 E2E backend test
🟠 E2E UI test
🟢 Full regression</t>
  </si>
  <si>
    <t>🔵 AI IVR E2E
🟠 Track E2E
🟢 IVR test cases</t>
  </si>
  <si>
    <t>All: Bug fixing
from E2E</t>
  </si>
  <si>
    <t>All: Sprint review
Demo prep</t>
  </si>
  <si>
    <t>Mentor: Full system review + go/no-go for Dev phase</t>
  </si>
  <si>
    <t>Person1</t>
  </si>
  <si>
    <t>Person2</t>
  </si>
  <si>
    <t>Person3</t>
  </si>
  <si>
    <t>Experiened person1</t>
  </si>
  <si>
    <t>Experiened person2</t>
  </si>
  <si>
    <t>Person1 (Backend)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</si>
</sst>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0000FF"/>
      <name val="Arial"/>
      <charset val="1"/>
    </font>
    <font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375623"/>
      <name val="Arial"/>
      <charset val="1"/>
    </font>
    <font>
      <b/>
      <sz val="15"/>
      <color rgb="FFFFFFFF"/>
      <name val="Arial"/>
      <charset val="1"/>
    </font>
    <font>
      <i/>
      <sz val="9"/>
      <color rgb="FF40404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9"/>
      <color rgb="FFFFFFFF"/>
      <name val="Arial"/>
      <charset val="1"/>
    </font>
    <font>
      <sz val="9"/>
      <color rgb="FF595959"/>
      <name val="Arial"/>
      <charset val="1"/>
    </font>
    <font>
      <b/>
      <sz val="9"/>
      <color rgb="FF0000FF"/>
      <name val="Arial"/>
      <charset val="1"/>
    </font>
    <font>
      <b/>
      <sz val="13"/>
      <color rgb="FFFFFFFF"/>
      <name val="Arial"/>
      <charset val="1"/>
    </font>
    <font>
      <i/>
      <sz val="9"/>
      <name val="Arial"/>
      <charset val="1"/>
    </font>
    <font>
      <sz val="8"/>
      <color rgb="FF000000"/>
      <name val="Arial"/>
      <charset val="1"/>
    </font>
    <font>
      <b/>
      <sz val="8"/>
      <color rgb="FF000000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404040"/>
        <bgColor rgb="FF375623"/>
      </patternFill>
    </fill>
    <fill>
      <patternFill patternType="solid">
        <fgColor rgb="FFF2F2F2"/>
        <bgColor rgb="FFFAFAFA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D9E1F2"/>
      </patternFill>
    </fill>
    <fill>
      <patternFill patternType="solid">
        <fgColor rgb="FFE2EFDA"/>
        <bgColor rgb="FFE8F0D9"/>
      </patternFill>
    </fill>
    <fill>
      <patternFill patternType="solid">
        <fgColor rgb="FFFFE7E7"/>
        <bgColor rgb="FFFCE4D6"/>
      </patternFill>
    </fill>
    <fill>
      <patternFill patternType="solid">
        <fgColor rgb="FFDEEAF1"/>
        <bgColor rgb="FFD9E1F2"/>
      </patternFill>
    </fill>
    <fill>
      <patternFill patternType="solid">
        <fgColor rgb="FFFFC7CE"/>
        <bgColor rgb="FFEAD1FF"/>
      </patternFill>
    </fill>
    <fill>
      <patternFill patternType="solid">
        <fgColor rgb="FFFFFFFF"/>
        <bgColor rgb="FFFAFAFA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E7E7"/>
      </patternFill>
    </fill>
    <fill>
      <patternFill patternType="solid">
        <fgColor rgb="FFEAD1FF"/>
        <bgColor rgb="FFD9E1F2"/>
      </patternFill>
    </fill>
    <fill>
      <patternFill patternType="solid">
        <fgColor rgb="FFFAFAFA"/>
        <bgColor rgb="FFFFFFFF"/>
      </patternFill>
    </fill>
    <fill>
      <patternFill patternType="solid">
        <fgColor rgb="FFD9E1F2"/>
        <bgColor rgb="FFDEEAF1"/>
      </patternFill>
    </fill>
    <fill>
      <patternFill patternType="solid">
        <fgColor rgb="FFC00000"/>
        <bgColor rgb="FF800000"/>
      </patternFill>
    </fill>
    <fill>
      <patternFill patternType="solid">
        <fgColor rgb="FFE8F0D9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6" fillId="10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10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7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3" fillId="5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4" fillId="13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left" vertical="center" wrapText="1"/>
    </xf>
    <xf numFmtId="3" fontId="14" fillId="5" borderId="1" xfId="0" applyNumberFormat="1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5" borderId="1" xfId="0" applyFont="1" applyFill="1" applyBorder="1"/>
    <xf numFmtId="0" fontId="18" fillId="0" borderId="1" xfId="0" applyFont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9" fillId="15" borderId="1" xfId="0" applyFont="1" applyFill="1" applyBorder="1"/>
    <xf numFmtId="0" fontId="14" fillId="7" borderId="1" xfId="0" applyFont="1" applyFill="1" applyBorder="1" applyAlignment="1">
      <alignment horizontal="center" vertical="center"/>
    </xf>
    <xf numFmtId="164" fontId="14" fillId="8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left" vertical="center" wrapText="1"/>
    </xf>
    <xf numFmtId="0" fontId="22" fillId="17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14" fillId="20" borderId="1" xfId="0" applyFont="1" applyFill="1" applyBorder="1" applyAlignment="1">
      <alignment horizontal="left" vertical="center" wrapText="1"/>
    </xf>
    <xf numFmtId="0" fontId="22" fillId="12" borderId="1" xfId="0" applyFont="1" applyFill="1" applyBorder="1" applyAlignment="1">
      <alignment horizontal="left" vertical="center" wrapText="1"/>
    </xf>
    <xf numFmtId="0" fontId="14" fillId="15" borderId="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15" fillId="19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left" vertical="center" wrapText="1"/>
    </xf>
    <xf numFmtId="14" fontId="5" fillId="6" borderId="1" xfId="0" applyNumberFormat="1" applyFont="1" applyFill="1" applyBorder="1" applyAlignment="1">
      <alignment horizontal="center" vertical="center"/>
    </xf>
    <xf numFmtId="14" fontId="8" fillId="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8F0D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2F2F2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E7E7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E1F2"/>
      <rgbColor rgb="FFFCE4D6"/>
      <rgbColor rgb="FFEAD1FF"/>
      <rgbColor rgb="FFFFC7CE"/>
      <rgbColor rgb="FF2E75B6"/>
      <rgbColor rgb="FF33CCCC"/>
      <rgbColor rgb="FF99CC00"/>
      <rgbColor rgb="FFFAFAFA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9"/>
  <sheetViews>
    <sheetView showGridLines="0" topLeftCell="A11" zoomScaleNormal="100" workbookViewId="0">
      <selection activeCell="F16" sqref="F16"/>
    </sheetView>
  </sheetViews>
  <sheetFormatPr defaultColWidth="8.6328125" defaultRowHeight="14.5" x14ac:dyDescent="0.35"/>
  <cols>
    <col min="1" max="1" width="4" customWidth="1"/>
    <col min="2" max="2" width="28" customWidth="1"/>
    <col min="3" max="5" width="22" customWidth="1"/>
    <col min="6" max="6" width="36.6328125" customWidth="1"/>
    <col min="7" max="7" width="18" customWidth="1"/>
  </cols>
  <sheetData>
    <row r="1" spans="2:7" ht="36" customHeight="1" x14ac:dyDescent="0.35">
      <c r="B1" s="14" t="s">
        <v>0</v>
      </c>
      <c r="C1" s="14"/>
      <c r="D1" s="14"/>
      <c r="E1" s="14"/>
      <c r="F1" s="14"/>
      <c r="G1" s="14"/>
    </row>
    <row r="2" spans="2:7" ht="18" customHeight="1" x14ac:dyDescent="0.35">
      <c r="B2" s="13" t="s">
        <v>1</v>
      </c>
      <c r="C2" s="13"/>
      <c r="D2" s="13"/>
      <c r="E2" s="13"/>
      <c r="F2" s="13"/>
      <c r="G2" s="13"/>
    </row>
    <row r="4" spans="2:7" ht="21.75" customHeight="1" x14ac:dyDescent="0.35">
      <c r="B4" s="12" t="s">
        <v>2</v>
      </c>
      <c r="C4" s="12"/>
      <c r="D4" s="12"/>
      <c r="E4" s="12"/>
      <c r="F4" s="12"/>
      <c r="G4" s="12"/>
    </row>
    <row r="5" spans="2:7" ht="19.5" customHeight="1" x14ac:dyDescent="0.35">
      <c r="B5" s="15" t="s">
        <v>3</v>
      </c>
      <c r="C5" s="75">
        <v>46235</v>
      </c>
      <c r="D5" s="11" t="s">
        <v>4</v>
      </c>
      <c r="E5" s="11"/>
      <c r="F5" s="11"/>
      <c r="G5" s="11"/>
    </row>
    <row r="6" spans="2:7" ht="19.5" customHeight="1" x14ac:dyDescent="0.35">
      <c r="B6" s="15" t="s">
        <v>5</v>
      </c>
      <c r="C6" s="16">
        <v>3</v>
      </c>
      <c r="D6" s="11" t="s">
        <v>6</v>
      </c>
      <c r="E6" s="11"/>
      <c r="F6" s="11"/>
      <c r="G6" s="11"/>
    </row>
    <row r="7" spans="2:7" ht="19.5" customHeight="1" x14ac:dyDescent="0.35">
      <c r="B7" s="15" t="s">
        <v>7</v>
      </c>
      <c r="C7" s="16">
        <v>2</v>
      </c>
      <c r="D7" s="11" t="s">
        <v>8</v>
      </c>
      <c r="E7" s="11"/>
      <c r="F7" s="11"/>
      <c r="G7" s="11"/>
    </row>
    <row r="8" spans="2:7" ht="19.5" customHeight="1" x14ac:dyDescent="0.35">
      <c r="B8" s="15" t="s">
        <v>9</v>
      </c>
      <c r="C8" s="16">
        <v>0.5</v>
      </c>
      <c r="D8" s="11" t="s">
        <v>10</v>
      </c>
      <c r="E8" s="11"/>
      <c r="F8" s="11"/>
      <c r="G8" s="11"/>
    </row>
    <row r="9" spans="2:7" ht="19.5" customHeight="1" x14ac:dyDescent="0.35">
      <c r="B9" s="15" t="s">
        <v>11</v>
      </c>
      <c r="C9" s="16">
        <v>1</v>
      </c>
      <c r="D9" s="11" t="s">
        <v>12</v>
      </c>
      <c r="E9" s="11"/>
      <c r="F9" s="11"/>
      <c r="G9" s="11"/>
    </row>
    <row r="10" spans="2:7" ht="19.5" customHeight="1" x14ac:dyDescent="0.35">
      <c r="B10" s="15" t="s">
        <v>13</v>
      </c>
      <c r="C10" s="16">
        <v>8</v>
      </c>
      <c r="D10" s="11" t="s">
        <v>14</v>
      </c>
      <c r="E10" s="11"/>
      <c r="F10" s="11"/>
      <c r="G10" s="11"/>
    </row>
    <row r="11" spans="2:7" ht="19.5" customHeight="1" x14ac:dyDescent="0.35">
      <c r="B11" s="15" t="s">
        <v>15</v>
      </c>
      <c r="C11" s="16">
        <v>5</v>
      </c>
      <c r="D11" s="11" t="s">
        <v>16</v>
      </c>
      <c r="E11" s="11"/>
      <c r="F11" s="11"/>
      <c r="G11" s="11"/>
    </row>
    <row r="12" spans="2:7" ht="19.5" customHeight="1" x14ac:dyDescent="0.35">
      <c r="B12" s="15" t="s">
        <v>17</v>
      </c>
      <c r="C12" s="16">
        <v>2</v>
      </c>
      <c r="D12" s="11" t="s">
        <v>18</v>
      </c>
      <c r="E12" s="11"/>
      <c r="F12" s="11"/>
      <c r="G12" s="11"/>
    </row>
    <row r="15" spans="2:7" ht="21.75" customHeight="1" x14ac:dyDescent="0.35">
      <c r="B15" s="10" t="s">
        <v>19</v>
      </c>
      <c r="C15" s="10"/>
      <c r="D15" s="10"/>
      <c r="E15" s="10"/>
      <c r="F15" s="10"/>
      <c r="G15" s="10"/>
    </row>
    <row r="16" spans="2:7" ht="21.75" customHeight="1" x14ac:dyDescent="0.35">
      <c r="B16" s="17" t="s">
        <v>20</v>
      </c>
      <c r="C16" s="17" t="s">
        <v>21</v>
      </c>
      <c r="D16" s="17" t="s">
        <v>22</v>
      </c>
      <c r="E16" s="17" t="s">
        <v>23</v>
      </c>
      <c r="F16" s="17" t="s">
        <v>24</v>
      </c>
      <c r="G16" s="17" t="s">
        <v>25</v>
      </c>
    </row>
    <row r="17" spans="2:7" ht="21.75" customHeight="1" x14ac:dyDescent="0.35">
      <c r="B17" s="18" t="s">
        <v>468</v>
      </c>
      <c r="C17" s="18" t="s">
        <v>26</v>
      </c>
      <c r="D17" s="18" t="s">
        <v>27</v>
      </c>
      <c r="E17" s="76">
        <v>46235</v>
      </c>
      <c r="F17" s="19" t="s">
        <v>28</v>
      </c>
      <c r="G17" s="20"/>
    </row>
    <row r="18" spans="2:7" ht="21.75" customHeight="1" x14ac:dyDescent="0.35">
      <c r="B18" s="18" t="s">
        <v>469</v>
      </c>
      <c r="C18" s="18" t="s">
        <v>29</v>
      </c>
      <c r="D18" s="18" t="s">
        <v>27</v>
      </c>
      <c r="E18" s="76">
        <v>46235</v>
      </c>
      <c r="F18" s="19" t="s">
        <v>30</v>
      </c>
      <c r="G18" s="20"/>
    </row>
    <row r="19" spans="2:7" ht="21.75" customHeight="1" x14ac:dyDescent="0.35">
      <c r="B19" s="18" t="s">
        <v>470</v>
      </c>
      <c r="C19" s="18" t="s">
        <v>31</v>
      </c>
      <c r="D19" s="18" t="s">
        <v>27</v>
      </c>
      <c r="E19" s="76">
        <v>46235</v>
      </c>
      <c r="F19" s="19" t="s">
        <v>32</v>
      </c>
      <c r="G19" s="20"/>
    </row>
    <row r="20" spans="2:7" ht="21.75" customHeight="1" x14ac:dyDescent="0.35">
      <c r="B20" s="21" t="s">
        <v>471</v>
      </c>
      <c r="C20" s="21" t="s">
        <v>33</v>
      </c>
      <c r="D20" s="21" t="s">
        <v>34</v>
      </c>
      <c r="E20" s="76">
        <v>46235</v>
      </c>
      <c r="F20" s="22" t="s">
        <v>35</v>
      </c>
      <c r="G20" s="23"/>
    </row>
    <row r="21" spans="2:7" ht="21.75" customHeight="1" x14ac:dyDescent="0.35">
      <c r="B21" s="21" t="s">
        <v>472</v>
      </c>
      <c r="C21" s="21" t="s">
        <v>36</v>
      </c>
      <c r="D21" s="21" t="s">
        <v>34</v>
      </c>
      <c r="E21" s="76">
        <v>46235</v>
      </c>
      <c r="F21" s="22" t="s">
        <v>37</v>
      </c>
      <c r="G21" s="23"/>
    </row>
    <row r="24" spans="2:7" x14ac:dyDescent="0.35">
      <c r="B24" s="9" t="s">
        <v>38</v>
      </c>
      <c r="C24" s="9"/>
      <c r="D24" s="9"/>
      <c r="E24" s="9"/>
      <c r="F24" s="9"/>
      <c r="G24" s="9"/>
    </row>
    <row r="25" spans="2:7" x14ac:dyDescent="0.35">
      <c r="B25" s="24"/>
      <c r="C25" s="8" t="s">
        <v>39</v>
      </c>
      <c r="D25" s="8"/>
      <c r="E25" s="8"/>
      <c r="F25" s="8"/>
      <c r="G25" s="8"/>
    </row>
    <row r="26" spans="2:7" x14ac:dyDescent="0.35">
      <c r="B26" s="25"/>
      <c r="C26" s="7" t="s">
        <v>40</v>
      </c>
      <c r="D26" s="7"/>
      <c r="E26" s="7"/>
      <c r="F26" s="7"/>
      <c r="G26" s="7"/>
    </row>
    <row r="27" spans="2:7" x14ac:dyDescent="0.35">
      <c r="B27" s="26"/>
      <c r="C27" s="7" t="s">
        <v>41</v>
      </c>
      <c r="D27" s="7"/>
      <c r="E27" s="7"/>
      <c r="F27" s="7"/>
      <c r="G27" s="7"/>
    </row>
    <row r="28" spans="2:7" x14ac:dyDescent="0.35">
      <c r="B28" s="27"/>
      <c r="C28" s="7" t="s">
        <v>42</v>
      </c>
      <c r="D28" s="7"/>
      <c r="E28" s="7"/>
      <c r="F28" s="7"/>
      <c r="G28" s="7"/>
    </row>
    <row r="29" spans="2:7" x14ac:dyDescent="0.35">
      <c r="B29" s="26"/>
      <c r="C29" s="6" t="s">
        <v>43</v>
      </c>
      <c r="D29" s="6"/>
      <c r="E29" s="6"/>
      <c r="F29" s="6"/>
      <c r="G29" s="6"/>
    </row>
  </sheetData>
  <mergeCells count="18">
    <mergeCell ref="C27:G27"/>
    <mergeCell ref="C28:G28"/>
    <mergeCell ref="C29:G29"/>
    <mergeCell ref="D12:G12"/>
    <mergeCell ref="B15:G15"/>
    <mergeCell ref="B24:G24"/>
    <mergeCell ref="C25:G25"/>
    <mergeCell ref="C26:G26"/>
    <mergeCell ref="D7:G7"/>
    <mergeCell ref="D8:G8"/>
    <mergeCell ref="D9:G9"/>
    <mergeCell ref="D10:G10"/>
    <mergeCell ref="D11:G11"/>
    <mergeCell ref="B1:G1"/>
    <mergeCell ref="B2:G2"/>
    <mergeCell ref="B4:G4"/>
    <mergeCell ref="D5:G5"/>
    <mergeCell ref="D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44"/>
  <sheetViews>
    <sheetView showGridLines="0" zoomScaleNormal="100" workbookViewId="0">
      <pane xSplit="1" ySplit="4" topLeftCell="B27" activePane="bottomRight" state="frozen"/>
      <selection pane="topRight" activeCell="B1" sqref="B1"/>
      <selection pane="bottomLeft" activeCell="A5" sqref="A5"/>
      <selection pane="bottomRight" activeCell="E11" sqref="E11"/>
    </sheetView>
  </sheetViews>
  <sheetFormatPr defaultColWidth="8.6328125" defaultRowHeight="14.5" x14ac:dyDescent="0.35"/>
  <cols>
    <col min="1" max="1" width="3" customWidth="1"/>
    <col min="2" max="2" width="6" customWidth="1"/>
    <col min="3" max="3" width="28" customWidth="1"/>
    <col min="4" max="5" width="18" customWidth="1"/>
    <col min="6" max="7" width="22" customWidth="1"/>
    <col min="8" max="9" width="14" customWidth="1"/>
    <col min="10" max="10" width="16" customWidth="1"/>
    <col min="11" max="11" width="22" customWidth="1"/>
  </cols>
  <sheetData>
    <row r="1" spans="2:11" ht="33.75" customHeight="1" x14ac:dyDescent="0.35">
      <c r="B1" s="5" t="s">
        <v>44</v>
      </c>
      <c r="C1" s="5"/>
      <c r="D1" s="5"/>
      <c r="E1" s="5"/>
      <c r="F1" s="5"/>
      <c r="G1" s="5"/>
      <c r="H1" s="5"/>
      <c r="I1" s="5"/>
      <c r="J1" s="5"/>
      <c r="K1" s="5"/>
    </row>
    <row r="2" spans="2:11" ht="18" customHeight="1" x14ac:dyDescent="0.35">
      <c r="B2" s="4" t="s">
        <v>45</v>
      </c>
      <c r="C2" s="4"/>
      <c r="D2" s="4"/>
      <c r="E2" s="4"/>
      <c r="F2" s="4"/>
      <c r="G2" s="4"/>
      <c r="H2" s="4"/>
      <c r="I2" s="4"/>
      <c r="J2" s="4"/>
      <c r="K2" s="4"/>
    </row>
    <row r="4" spans="2:11" ht="27.75" customHeight="1" x14ac:dyDescent="0.35">
      <c r="B4" s="17" t="s">
        <v>46</v>
      </c>
      <c r="C4" s="17" t="s">
        <v>47</v>
      </c>
      <c r="D4" s="17" t="s">
        <v>48</v>
      </c>
      <c r="E4" s="17" t="s">
        <v>49</v>
      </c>
      <c r="F4" s="17" t="s">
        <v>50</v>
      </c>
      <c r="G4" s="17" t="s">
        <v>51</v>
      </c>
      <c r="H4" s="17" t="s">
        <v>52</v>
      </c>
      <c r="I4" s="17" t="s">
        <v>53</v>
      </c>
      <c r="J4" s="17" t="s">
        <v>54</v>
      </c>
      <c r="K4" s="17" t="s">
        <v>55</v>
      </c>
    </row>
    <row r="5" spans="2:11" ht="21.75" customHeight="1" x14ac:dyDescent="0.35">
      <c r="B5" s="28">
        <v>1</v>
      </c>
      <c r="C5" s="29" t="s">
        <v>56</v>
      </c>
      <c r="D5" s="28" t="s">
        <v>57</v>
      </c>
      <c r="E5" s="30" t="s">
        <v>58</v>
      </c>
      <c r="F5" s="30">
        <v>8</v>
      </c>
      <c r="G5" s="30" t="s">
        <v>59</v>
      </c>
      <c r="H5" s="28" t="s">
        <v>60</v>
      </c>
      <c r="I5" s="28" t="s">
        <v>61</v>
      </c>
      <c r="J5" s="28" t="s">
        <v>62</v>
      </c>
      <c r="K5" s="31" t="s">
        <v>63</v>
      </c>
    </row>
    <row r="6" spans="2:11" ht="21.75" customHeight="1" x14ac:dyDescent="0.35">
      <c r="B6" s="32">
        <v>1</v>
      </c>
      <c r="C6" s="29" t="s">
        <v>56</v>
      </c>
      <c r="D6" s="32" t="s">
        <v>64</v>
      </c>
      <c r="E6" s="33" t="s">
        <v>58</v>
      </c>
      <c r="F6" s="33">
        <v>4</v>
      </c>
      <c r="G6" s="33" t="s">
        <v>65</v>
      </c>
      <c r="H6" s="32" t="s">
        <v>66</v>
      </c>
      <c r="I6" s="32" t="s">
        <v>61</v>
      </c>
      <c r="J6" s="32" t="s">
        <v>62</v>
      </c>
      <c r="K6" s="31" t="s">
        <v>63</v>
      </c>
    </row>
    <row r="7" spans="2:11" ht="21.75" customHeight="1" x14ac:dyDescent="0.35">
      <c r="B7" s="28">
        <v>1</v>
      </c>
      <c r="C7" s="29" t="s">
        <v>56</v>
      </c>
      <c r="D7" s="28" t="s">
        <v>67</v>
      </c>
      <c r="E7" s="30" t="s">
        <v>473</v>
      </c>
      <c r="F7" s="30">
        <v>8</v>
      </c>
      <c r="G7" s="30" t="s">
        <v>69</v>
      </c>
      <c r="H7" s="28" t="s">
        <v>70</v>
      </c>
      <c r="I7" s="28" t="s">
        <v>61</v>
      </c>
      <c r="J7" s="28" t="s">
        <v>62</v>
      </c>
      <c r="K7" s="31" t="s">
        <v>63</v>
      </c>
    </row>
    <row r="8" spans="2:11" ht="21.75" customHeight="1" x14ac:dyDescent="0.35">
      <c r="B8" s="32">
        <v>1</v>
      </c>
      <c r="C8" s="29" t="s">
        <v>56</v>
      </c>
      <c r="D8" s="32" t="s">
        <v>71</v>
      </c>
      <c r="E8" s="33" t="s">
        <v>72</v>
      </c>
      <c r="F8" s="33">
        <v>8</v>
      </c>
      <c r="G8" s="33" t="s">
        <v>73</v>
      </c>
      <c r="H8" s="32" t="s">
        <v>74</v>
      </c>
      <c r="I8" s="32" t="s">
        <v>61</v>
      </c>
      <c r="J8" s="32" t="s">
        <v>62</v>
      </c>
      <c r="K8" s="31" t="s">
        <v>63</v>
      </c>
    </row>
    <row r="9" spans="2:11" ht="21.75" customHeight="1" x14ac:dyDescent="0.35">
      <c r="B9" s="28">
        <v>1</v>
      </c>
      <c r="C9" s="29" t="s">
        <v>56</v>
      </c>
      <c r="D9" s="28" t="s">
        <v>75</v>
      </c>
      <c r="E9" s="30" t="s">
        <v>76</v>
      </c>
      <c r="F9" s="30">
        <v>8</v>
      </c>
      <c r="G9" s="30" t="s">
        <v>77</v>
      </c>
      <c r="H9" s="28" t="s">
        <v>78</v>
      </c>
      <c r="I9" s="28" t="s">
        <v>61</v>
      </c>
      <c r="J9" s="28" t="s">
        <v>62</v>
      </c>
      <c r="K9" s="31" t="s">
        <v>63</v>
      </c>
    </row>
    <row r="10" spans="2:11" ht="21.75" customHeight="1" x14ac:dyDescent="0.35">
      <c r="B10" s="32">
        <v>2</v>
      </c>
      <c r="C10" s="29" t="s">
        <v>56</v>
      </c>
      <c r="D10" s="32" t="s">
        <v>79</v>
      </c>
      <c r="E10" s="33" t="s">
        <v>473</v>
      </c>
      <c r="F10" s="33">
        <v>16</v>
      </c>
      <c r="G10" s="33" t="s">
        <v>80</v>
      </c>
      <c r="H10" s="32" t="s">
        <v>81</v>
      </c>
      <c r="I10" s="32" t="s">
        <v>61</v>
      </c>
      <c r="J10" s="32" t="s">
        <v>82</v>
      </c>
      <c r="K10" s="31" t="s">
        <v>63</v>
      </c>
    </row>
    <row r="11" spans="2:11" ht="21.75" customHeight="1" x14ac:dyDescent="0.35">
      <c r="B11" s="28">
        <v>2</v>
      </c>
      <c r="C11" s="29" t="s">
        <v>56</v>
      </c>
      <c r="D11" s="28" t="s">
        <v>83</v>
      </c>
      <c r="E11" s="30" t="s">
        <v>473</v>
      </c>
      <c r="F11" s="30">
        <v>12</v>
      </c>
      <c r="G11" s="30" t="s">
        <v>84</v>
      </c>
      <c r="H11" s="28" t="s">
        <v>85</v>
      </c>
      <c r="I11" s="28" t="s">
        <v>61</v>
      </c>
      <c r="J11" s="28" t="s">
        <v>82</v>
      </c>
      <c r="K11" s="31" t="s">
        <v>63</v>
      </c>
    </row>
    <row r="12" spans="2:11" ht="21.75" customHeight="1" x14ac:dyDescent="0.35">
      <c r="B12" s="32">
        <v>2</v>
      </c>
      <c r="C12" s="29" t="s">
        <v>56</v>
      </c>
      <c r="D12" s="32" t="s">
        <v>86</v>
      </c>
      <c r="E12" s="33" t="s">
        <v>72</v>
      </c>
      <c r="F12" s="33">
        <v>16</v>
      </c>
      <c r="G12" s="33" t="s">
        <v>87</v>
      </c>
      <c r="H12" s="32" t="s">
        <v>88</v>
      </c>
      <c r="I12" s="32" t="s">
        <v>61</v>
      </c>
      <c r="J12" s="32" t="s">
        <v>82</v>
      </c>
      <c r="K12" s="31" t="s">
        <v>63</v>
      </c>
    </row>
    <row r="13" spans="2:11" ht="21.75" customHeight="1" x14ac:dyDescent="0.35">
      <c r="B13" s="28">
        <v>2</v>
      </c>
      <c r="C13" s="29" t="s">
        <v>56</v>
      </c>
      <c r="D13" s="28" t="s">
        <v>89</v>
      </c>
      <c r="E13" s="30" t="s">
        <v>72</v>
      </c>
      <c r="F13" s="30">
        <v>12</v>
      </c>
      <c r="G13" s="30" t="s">
        <v>90</v>
      </c>
      <c r="H13" s="28" t="s">
        <v>91</v>
      </c>
      <c r="I13" s="28" t="s">
        <v>61</v>
      </c>
      <c r="J13" s="28" t="s">
        <v>82</v>
      </c>
      <c r="K13" s="31" t="s">
        <v>63</v>
      </c>
    </row>
    <row r="14" spans="2:11" ht="21.75" customHeight="1" x14ac:dyDescent="0.35">
      <c r="B14" s="32">
        <v>2</v>
      </c>
      <c r="C14" s="29" t="s">
        <v>56</v>
      </c>
      <c r="D14" s="32" t="s">
        <v>92</v>
      </c>
      <c r="E14" s="33" t="s">
        <v>76</v>
      </c>
      <c r="F14" s="33">
        <v>16</v>
      </c>
      <c r="G14" s="33" t="s">
        <v>93</v>
      </c>
      <c r="H14" s="32" t="s">
        <v>94</v>
      </c>
      <c r="I14" s="32" t="s">
        <v>61</v>
      </c>
      <c r="J14" s="32" t="s">
        <v>62</v>
      </c>
      <c r="K14" s="34" t="s">
        <v>95</v>
      </c>
    </row>
    <row r="15" spans="2:11" ht="21.75" customHeight="1" x14ac:dyDescent="0.35">
      <c r="B15" s="28">
        <v>3</v>
      </c>
      <c r="C15" s="29" t="s">
        <v>56</v>
      </c>
      <c r="D15" s="28" t="s">
        <v>96</v>
      </c>
      <c r="E15" s="30" t="s">
        <v>68</v>
      </c>
      <c r="F15" s="30">
        <v>16</v>
      </c>
      <c r="G15" s="30" t="s">
        <v>97</v>
      </c>
      <c r="H15" s="28" t="s">
        <v>98</v>
      </c>
      <c r="I15" s="28" t="s">
        <v>61</v>
      </c>
      <c r="J15" s="28" t="s">
        <v>82</v>
      </c>
      <c r="K15" s="31" t="s">
        <v>63</v>
      </c>
    </row>
    <row r="16" spans="2:11" ht="21.75" customHeight="1" x14ac:dyDescent="0.35">
      <c r="B16" s="32">
        <v>3</v>
      </c>
      <c r="C16" s="29" t="s">
        <v>56</v>
      </c>
      <c r="D16" s="32" t="s">
        <v>99</v>
      </c>
      <c r="E16" s="33" t="s">
        <v>68</v>
      </c>
      <c r="F16" s="33">
        <v>10</v>
      </c>
      <c r="G16" s="33" t="s">
        <v>100</v>
      </c>
      <c r="H16" s="32" t="s">
        <v>101</v>
      </c>
      <c r="I16" s="32" t="s">
        <v>61</v>
      </c>
      <c r="J16" s="32" t="s">
        <v>82</v>
      </c>
      <c r="K16" s="31" t="s">
        <v>63</v>
      </c>
    </row>
    <row r="17" spans="2:11" ht="21.75" customHeight="1" x14ac:dyDescent="0.35">
      <c r="B17" s="28">
        <v>3</v>
      </c>
      <c r="C17" s="29" t="s">
        <v>56</v>
      </c>
      <c r="D17" s="28" t="s">
        <v>102</v>
      </c>
      <c r="E17" s="30" t="s">
        <v>72</v>
      </c>
      <c r="F17" s="30">
        <v>16</v>
      </c>
      <c r="G17" s="30" t="s">
        <v>103</v>
      </c>
      <c r="H17" s="28" t="s">
        <v>104</v>
      </c>
      <c r="I17" s="28" t="s">
        <v>61</v>
      </c>
      <c r="J17" s="28" t="s">
        <v>82</v>
      </c>
      <c r="K17" s="31" t="s">
        <v>63</v>
      </c>
    </row>
    <row r="18" spans="2:11" ht="21.75" customHeight="1" x14ac:dyDescent="0.35">
      <c r="B18" s="32">
        <v>3</v>
      </c>
      <c r="C18" s="29" t="s">
        <v>56</v>
      </c>
      <c r="D18" s="32" t="s">
        <v>105</v>
      </c>
      <c r="E18" s="33" t="s">
        <v>72</v>
      </c>
      <c r="F18" s="33">
        <v>10</v>
      </c>
      <c r="G18" s="33" t="s">
        <v>106</v>
      </c>
      <c r="H18" s="32" t="s">
        <v>107</v>
      </c>
      <c r="I18" s="32" t="s">
        <v>61</v>
      </c>
      <c r="J18" s="32" t="s">
        <v>82</v>
      </c>
      <c r="K18" s="34" t="s">
        <v>95</v>
      </c>
    </row>
    <row r="19" spans="2:11" ht="21.75" customHeight="1" x14ac:dyDescent="0.35">
      <c r="B19" s="28">
        <v>3</v>
      </c>
      <c r="C19" s="29" t="s">
        <v>56</v>
      </c>
      <c r="D19" s="28" t="s">
        <v>108</v>
      </c>
      <c r="E19" s="30" t="s">
        <v>76</v>
      </c>
      <c r="F19" s="30">
        <v>16</v>
      </c>
      <c r="G19" s="30" t="s">
        <v>109</v>
      </c>
      <c r="H19" s="28" t="s">
        <v>110</v>
      </c>
      <c r="I19" s="28" t="s">
        <v>61</v>
      </c>
      <c r="J19" s="28" t="s">
        <v>62</v>
      </c>
      <c r="K19" s="34" t="s">
        <v>95</v>
      </c>
    </row>
    <row r="20" spans="2:11" ht="21.75" customHeight="1" x14ac:dyDescent="0.35">
      <c r="B20" s="32">
        <v>4</v>
      </c>
      <c r="C20" s="29" t="s">
        <v>56</v>
      </c>
      <c r="D20" s="32" t="s">
        <v>111</v>
      </c>
      <c r="E20" s="33" t="s">
        <v>68</v>
      </c>
      <c r="F20" s="33">
        <v>10</v>
      </c>
      <c r="G20" s="33" t="s">
        <v>112</v>
      </c>
      <c r="H20" s="32" t="s">
        <v>113</v>
      </c>
      <c r="I20" s="32" t="s">
        <v>61</v>
      </c>
      <c r="J20" s="32" t="s">
        <v>82</v>
      </c>
      <c r="K20" s="31" t="s">
        <v>63</v>
      </c>
    </row>
    <row r="21" spans="2:11" ht="21.75" customHeight="1" x14ac:dyDescent="0.35">
      <c r="B21" s="28">
        <v>4</v>
      </c>
      <c r="C21" s="29" t="s">
        <v>56</v>
      </c>
      <c r="D21" s="28" t="s">
        <v>114</v>
      </c>
      <c r="E21" s="30" t="s">
        <v>68</v>
      </c>
      <c r="F21" s="30">
        <v>8</v>
      </c>
      <c r="G21" s="30" t="s">
        <v>115</v>
      </c>
      <c r="H21" s="28" t="s">
        <v>116</v>
      </c>
      <c r="I21" s="28" t="s">
        <v>61</v>
      </c>
      <c r="J21" s="28" t="s">
        <v>82</v>
      </c>
      <c r="K21" s="31" t="s">
        <v>63</v>
      </c>
    </row>
    <row r="22" spans="2:11" ht="21.75" customHeight="1" x14ac:dyDescent="0.35">
      <c r="B22" s="32">
        <v>4</v>
      </c>
      <c r="C22" s="29" t="s">
        <v>56</v>
      </c>
      <c r="D22" s="32" t="s">
        <v>117</v>
      </c>
      <c r="E22" s="33" t="s">
        <v>72</v>
      </c>
      <c r="F22" s="33">
        <v>12</v>
      </c>
      <c r="G22" s="33" t="s">
        <v>118</v>
      </c>
      <c r="H22" s="32" t="s">
        <v>119</v>
      </c>
      <c r="I22" s="32" t="s">
        <v>61</v>
      </c>
      <c r="J22" s="32" t="s">
        <v>82</v>
      </c>
      <c r="K22" s="31" t="s">
        <v>63</v>
      </c>
    </row>
    <row r="23" spans="2:11" ht="21.75" customHeight="1" x14ac:dyDescent="0.35">
      <c r="B23" s="28">
        <v>4</v>
      </c>
      <c r="C23" s="29" t="s">
        <v>56</v>
      </c>
      <c r="D23" s="28" t="s">
        <v>120</v>
      </c>
      <c r="E23" s="30" t="s">
        <v>72</v>
      </c>
      <c r="F23" s="30">
        <v>10</v>
      </c>
      <c r="G23" s="30" t="s">
        <v>121</v>
      </c>
      <c r="H23" s="28" t="s">
        <v>122</v>
      </c>
      <c r="I23" s="28" t="s">
        <v>61</v>
      </c>
      <c r="J23" s="28" t="s">
        <v>123</v>
      </c>
      <c r="K23" s="34" t="s">
        <v>95</v>
      </c>
    </row>
    <row r="24" spans="2:11" ht="21.75" customHeight="1" x14ac:dyDescent="0.35">
      <c r="B24" s="32">
        <v>4</v>
      </c>
      <c r="C24" s="29" t="s">
        <v>56</v>
      </c>
      <c r="D24" s="32" t="s">
        <v>124</v>
      </c>
      <c r="E24" s="33" t="s">
        <v>76</v>
      </c>
      <c r="F24" s="33">
        <v>16</v>
      </c>
      <c r="G24" s="33" t="s">
        <v>125</v>
      </c>
      <c r="H24" s="32" t="s">
        <v>126</v>
      </c>
      <c r="I24" s="32" t="s">
        <v>61</v>
      </c>
      <c r="J24" s="32" t="s">
        <v>123</v>
      </c>
      <c r="K24" s="35" t="s">
        <v>127</v>
      </c>
    </row>
    <row r="25" spans="2:11" ht="21.75" customHeight="1" x14ac:dyDescent="0.35">
      <c r="B25" s="28">
        <v>5</v>
      </c>
      <c r="C25" s="36" t="s">
        <v>128</v>
      </c>
      <c r="D25" s="28" t="s">
        <v>129</v>
      </c>
      <c r="E25" s="30" t="s">
        <v>68</v>
      </c>
      <c r="F25" s="30">
        <v>12</v>
      </c>
      <c r="G25" s="30" t="s">
        <v>130</v>
      </c>
      <c r="H25" s="28" t="s">
        <v>131</v>
      </c>
      <c r="I25" s="28" t="s">
        <v>61</v>
      </c>
      <c r="J25" s="28" t="s">
        <v>123</v>
      </c>
      <c r="K25" s="31" t="s">
        <v>63</v>
      </c>
    </row>
    <row r="26" spans="2:11" ht="21.75" customHeight="1" x14ac:dyDescent="0.35">
      <c r="B26" s="32">
        <v>5</v>
      </c>
      <c r="C26" s="36" t="s">
        <v>128</v>
      </c>
      <c r="D26" s="32" t="s">
        <v>132</v>
      </c>
      <c r="E26" s="33" t="s">
        <v>68</v>
      </c>
      <c r="F26" s="33">
        <v>10</v>
      </c>
      <c r="G26" s="33" t="s">
        <v>133</v>
      </c>
      <c r="H26" s="32" t="s">
        <v>134</v>
      </c>
      <c r="I26" s="32" t="s">
        <v>61</v>
      </c>
      <c r="J26" s="32" t="s">
        <v>123</v>
      </c>
      <c r="K26" s="31" t="s">
        <v>63</v>
      </c>
    </row>
    <row r="27" spans="2:11" ht="21.75" customHeight="1" x14ac:dyDescent="0.35">
      <c r="B27" s="28">
        <v>5</v>
      </c>
      <c r="C27" s="36" t="s">
        <v>128</v>
      </c>
      <c r="D27" s="28" t="s">
        <v>135</v>
      </c>
      <c r="E27" s="30" t="s">
        <v>72</v>
      </c>
      <c r="F27" s="30">
        <v>14</v>
      </c>
      <c r="G27" s="30" t="s">
        <v>136</v>
      </c>
      <c r="H27" s="28" t="s">
        <v>137</v>
      </c>
      <c r="I27" s="28" t="s">
        <v>61</v>
      </c>
      <c r="J27" s="28" t="s">
        <v>123</v>
      </c>
      <c r="K27" s="34" t="s">
        <v>95</v>
      </c>
    </row>
    <row r="28" spans="2:11" ht="21.75" customHeight="1" x14ac:dyDescent="0.35">
      <c r="B28" s="32">
        <v>5</v>
      </c>
      <c r="C28" s="36" t="s">
        <v>128</v>
      </c>
      <c r="D28" s="32" t="s">
        <v>138</v>
      </c>
      <c r="E28" s="33" t="s">
        <v>72</v>
      </c>
      <c r="F28" s="33">
        <v>10</v>
      </c>
      <c r="G28" s="33" t="s">
        <v>139</v>
      </c>
      <c r="H28" s="32" t="s">
        <v>140</v>
      </c>
      <c r="I28" s="32" t="s">
        <v>61</v>
      </c>
      <c r="J28" s="32" t="s">
        <v>123</v>
      </c>
      <c r="K28" s="31" t="s">
        <v>63</v>
      </c>
    </row>
    <row r="29" spans="2:11" ht="21.75" customHeight="1" x14ac:dyDescent="0.35">
      <c r="B29" s="28">
        <v>5</v>
      </c>
      <c r="C29" s="36" t="s">
        <v>128</v>
      </c>
      <c r="D29" s="28" t="s">
        <v>141</v>
      </c>
      <c r="E29" s="30" t="s">
        <v>76</v>
      </c>
      <c r="F29" s="30">
        <v>16</v>
      </c>
      <c r="G29" s="30" t="s">
        <v>142</v>
      </c>
      <c r="H29" s="28" t="s">
        <v>143</v>
      </c>
      <c r="I29" s="28" t="s">
        <v>61</v>
      </c>
      <c r="J29" s="28" t="s">
        <v>82</v>
      </c>
      <c r="K29" s="34" t="s">
        <v>95</v>
      </c>
    </row>
    <row r="30" spans="2:11" ht="21.75" customHeight="1" x14ac:dyDescent="0.35">
      <c r="B30" s="32">
        <v>6</v>
      </c>
      <c r="C30" s="36" t="s">
        <v>128</v>
      </c>
      <c r="D30" s="32" t="s">
        <v>144</v>
      </c>
      <c r="E30" s="33" t="s">
        <v>68</v>
      </c>
      <c r="F30" s="33">
        <v>14</v>
      </c>
      <c r="G30" s="33" t="s">
        <v>145</v>
      </c>
      <c r="H30" s="32" t="s">
        <v>146</v>
      </c>
      <c r="I30" s="32" t="s">
        <v>61</v>
      </c>
      <c r="J30" s="32" t="s">
        <v>123</v>
      </c>
      <c r="K30" s="31" t="s">
        <v>63</v>
      </c>
    </row>
    <row r="31" spans="2:11" ht="21.75" customHeight="1" x14ac:dyDescent="0.35">
      <c r="B31" s="28">
        <v>6</v>
      </c>
      <c r="C31" s="36" t="s">
        <v>128</v>
      </c>
      <c r="D31" s="28" t="s">
        <v>147</v>
      </c>
      <c r="E31" s="30" t="s">
        <v>68</v>
      </c>
      <c r="F31" s="30">
        <v>12</v>
      </c>
      <c r="G31" s="30" t="s">
        <v>148</v>
      </c>
      <c r="H31" s="28" t="s">
        <v>149</v>
      </c>
      <c r="I31" s="28" t="s">
        <v>61</v>
      </c>
      <c r="J31" s="28" t="s">
        <v>123</v>
      </c>
      <c r="K31" s="31" t="s">
        <v>63</v>
      </c>
    </row>
    <row r="32" spans="2:11" ht="21.75" customHeight="1" x14ac:dyDescent="0.35">
      <c r="B32" s="32">
        <v>6</v>
      </c>
      <c r="C32" s="36" t="s">
        <v>128</v>
      </c>
      <c r="D32" s="32" t="s">
        <v>150</v>
      </c>
      <c r="E32" s="33" t="s">
        <v>72</v>
      </c>
      <c r="F32" s="33">
        <v>10</v>
      </c>
      <c r="G32" s="33" t="s">
        <v>151</v>
      </c>
      <c r="H32" s="32" t="s">
        <v>152</v>
      </c>
      <c r="I32" s="32" t="s">
        <v>61</v>
      </c>
      <c r="J32" s="32" t="s">
        <v>82</v>
      </c>
      <c r="K32" s="34" t="s">
        <v>95</v>
      </c>
    </row>
    <row r="33" spans="2:11" ht="21.75" customHeight="1" x14ac:dyDescent="0.35">
      <c r="B33" s="28">
        <v>6</v>
      </c>
      <c r="C33" s="36" t="s">
        <v>128</v>
      </c>
      <c r="D33" s="28" t="s">
        <v>153</v>
      </c>
      <c r="E33" s="30" t="s">
        <v>72</v>
      </c>
      <c r="F33" s="30">
        <v>12</v>
      </c>
      <c r="G33" s="30" t="s">
        <v>154</v>
      </c>
      <c r="H33" s="28" t="s">
        <v>155</v>
      </c>
      <c r="I33" s="28" t="s">
        <v>61</v>
      </c>
      <c r="J33" s="28" t="s">
        <v>82</v>
      </c>
      <c r="K33" s="31" t="s">
        <v>63</v>
      </c>
    </row>
    <row r="34" spans="2:11" ht="21.75" customHeight="1" x14ac:dyDescent="0.35">
      <c r="B34" s="32">
        <v>6</v>
      </c>
      <c r="C34" s="36" t="s">
        <v>128</v>
      </c>
      <c r="D34" s="32" t="s">
        <v>156</v>
      </c>
      <c r="E34" s="33" t="s">
        <v>76</v>
      </c>
      <c r="F34" s="33">
        <v>14</v>
      </c>
      <c r="G34" s="33" t="s">
        <v>157</v>
      </c>
      <c r="H34" s="32" t="s">
        <v>158</v>
      </c>
      <c r="I34" s="32" t="s">
        <v>61</v>
      </c>
      <c r="J34" s="32" t="s">
        <v>123</v>
      </c>
      <c r="K34" s="35" t="s">
        <v>127</v>
      </c>
    </row>
    <row r="35" spans="2:11" ht="21.75" customHeight="1" x14ac:dyDescent="0.35">
      <c r="B35" s="28">
        <v>7</v>
      </c>
      <c r="C35" s="36" t="s">
        <v>128</v>
      </c>
      <c r="D35" s="28" t="s">
        <v>159</v>
      </c>
      <c r="E35" s="30" t="s">
        <v>68</v>
      </c>
      <c r="F35" s="30">
        <v>10</v>
      </c>
      <c r="G35" s="30" t="s">
        <v>160</v>
      </c>
      <c r="H35" s="28" t="s">
        <v>161</v>
      </c>
      <c r="I35" s="28" t="s">
        <v>61</v>
      </c>
      <c r="J35" s="28" t="s">
        <v>123</v>
      </c>
      <c r="K35" s="34" t="s">
        <v>95</v>
      </c>
    </row>
    <row r="36" spans="2:11" ht="21.75" customHeight="1" x14ac:dyDescent="0.35">
      <c r="B36" s="32">
        <v>7</v>
      </c>
      <c r="C36" s="36" t="s">
        <v>128</v>
      </c>
      <c r="D36" s="32" t="s">
        <v>162</v>
      </c>
      <c r="E36" s="33" t="s">
        <v>68</v>
      </c>
      <c r="F36" s="33">
        <v>8</v>
      </c>
      <c r="G36" s="33" t="s">
        <v>163</v>
      </c>
      <c r="H36" s="32" t="s">
        <v>164</v>
      </c>
      <c r="I36" s="32" t="s">
        <v>61</v>
      </c>
      <c r="J36" s="32" t="s">
        <v>123</v>
      </c>
      <c r="K36" s="35" t="s">
        <v>127</v>
      </c>
    </row>
    <row r="37" spans="2:11" ht="21.75" customHeight="1" x14ac:dyDescent="0.35">
      <c r="B37" s="28">
        <v>7</v>
      </c>
      <c r="C37" s="36" t="s">
        <v>128</v>
      </c>
      <c r="D37" s="28" t="s">
        <v>165</v>
      </c>
      <c r="E37" s="30" t="s">
        <v>72</v>
      </c>
      <c r="F37" s="30">
        <v>10</v>
      </c>
      <c r="G37" s="30" t="s">
        <v>166</v>
      </c>
      <c r="H37" s="28" t="s">
        <v>167</v>
      </c>
      <c r="I37" s="28" t="s">
        <v>61</v>
      </c>
      <c r="J37" s="28" t="s">
        <v>82</v>
      </c>
      <c r="K37" s="34" t="s">
        <v>95</v>
      </c>
    </row>
    <row r="38" spans="2:11" ht="21.75" customHeight="1" x14ac:dyDescent="0.35">
      <c r="B38" s="32">
        <v>7</v>
      </c>
      <c r="C38" s="36" t="s">
        <v>128</v>
      </c>
      <c r="D38" s="32" t="s">
        <v>168</v>
      </c>
      <c r="E38" s="33" t="s">
        <v>76</v>
      </c>
      <c r="F38" s="33">
        <v>12</v>
      </c>
      <c r="G38" s="33" t="s">
        <v>169</v>
      </c>
      <c r="H38" s="32" t="s">
        <v>170</v>
      </c>
      <c r="I38" s="32" t="s">
        <v>61</v>
      </c>
      <c r="J38" s="32" t="s">
        <v>123</v>
      </c>
      <c r="K38" s="34" t="s">
        <v>95</v>
      </c>
    </row>
    <row r="39" spans="2:11" ht="21.75" customHeight="1" x14ac:dyDescent="0.35">
      <c r="B39" s="28">
        <v>7</v>
      </c>
      <c r="C39" s="36" t="s">
        <v>128</v>
      </c>
      <c r="D39" s="28" t="s">
        <v>171</v>
      </c>
      <c r="E39" s="30" t="s">
        <v>76</v>
      </c>
      <c r="F39" s="30">
        <v>10</v>
      </c>
      <c r="G39" s="30" t="s">
        <v>172</v>
      </c>
      <c r="H39" s="28" t="s">
        <v>173</v>
      </c>
      <c r="I39" s="28" t="s">
        <v>61</v>
      </c>
      <c r="J39" s="28" t="s">
        <v>62</v>
      </c>
      <c r="K39" s="31" t="s">
        <v>63</v>
      </c>
    </row>
    <row r="40" spans="2:11" ht="21.75" customHeight="1" x14ac:dyDescent="0.35">
      <c r="B40" s="32">
        <v>8</v>
      </c>
      <c r="C40" s="37" t="s">
        <v>174</v>
      </c>
      <c r="D40" s="32" t="s">
        <v>175</v>
      </c>
      <c r="E40" s="33" t="s">
        <v>176</v>
      </c>
      <c r="F40" s="33" t="s">
        <v>177</v>
      </c>
      <c r="G40" s="33" t="s">
        <v>178</v>
      </c>
      <c r="H40" s="32" t="s">
        <v>179</v>
      </c>
      <c r="I40" s="32" t="s">
        <v>61</v>
      </c>
      <c r="J40" s="32" t="s">
        <v>123</v>
      </c>
      <c r="K40" s="35" t="s">
        <v>127</v>
      </c>
    </row>
    <row r="41" spans="2:11" ht="21.75" customHeight="1" x14ac:dyDescent="0.35">
      <c r="B41" s="28">
        <v>8</v>
      </c>
      <c r="C41" s="37" t="s">
        <v>174</v>
      </c>
      <c r="D41" s="28" t="s">
        <v>180</v>
      </c>
      <c r="E41" s="30" t="s">
        <v>58</v>
      </c>
      <c r="F41" s="30" t="s">
        <v>181</v>
      </c>
      <c r="G41" s="30" t="s">
        <v>182</v>
      </c>
      <c r="H41" s="28" t="s">
        <v>183</v>
      </c>
      <c r="I41" s="28" t="s">
        <v>61</v>
      </c>
      <c r="J41" s="28" t="s">
        <v>82</v>
      </c>
      <c r="K41" s="31" t="s">
        <v>63</v>
      </c>
    </row>
    <row r="42" spans="2:11" ht="21.75" customHeight="1" x14ac:dyDescent="0.35">
      <c r="B42" s="32">
        <v>8</v>
      </c>
      <c r="C42" s="37" t="s">
        <v>174</v>
      </c>
      <c r="D42" s="32" t="s">
        <v>184</v>
      </c>
      <c r="E42" s="33" t="s">
        <v>185</v>
      </c>
      <c r="F42" s="33">
        <v>12</v>
      </c>
      <c r="G42" s="33" t="s">
        <v>186</v>
      </c>
      <c r="H42" s="32" t="s">
        <v>187</v>
      </c>
      <c r="I42" s="32" t="s">
        <v>61</v>
      </c>
      <c r="J42" s="32" t="s">
        <v>123</v>
      </c>
      <c r="K42" s="31" t="s">
        <v>63</v>
      </c>
    </row>
    <row r="44" spans="2:11" x14ac:dyDescent="0.35">
      <c r="B44" s="3" t="s">
        <v>188</v>
      </c>
      <c r="C44" s="3"/>
      <c r="D44" s="3"/>
      <c r="E44" s="38">
        <f>SUMPRODUCT((C5:C42=C5)*1)*0+SUM(E5:E42)</f>
        <v>0</v>
      </c>
    </row>
  </sheetData>
  <mergeCells count="3">
    <mergeCell ref="B1:K1"/>
    <mergeCell ref="B2:K2"/>
    <mergeCell ref="B44:D4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29"/>
  <sheetViews>
    <sheetView showGridLines="0" zoomScaleNormal="100" workbookViewId="0">
      <pane xSplit="1" ySplit="4" topLeftCell="D8" activePane="bottomRight" state="frozen"/>
      <selection pane="topRight" activeCell="B1" sqref="B1"/>
      <selection pane="bottomLeft" activeCell="A5" sqref="A5"/>
      <selection pane="bottomRight" activeCell="L5" sqref="L5"/>
    </sheetView>
  </sheetViews>
  <sheetFormatPr defaultColWidth="8.6328125" defaultRowHeight="14.5" x14ac:dyDescent="0.35"/>
  <cols>
    <col min="1" max="1" width="3" customWidth="1"/>
    <col min="2" max="2" width="6" customWidth="1"/>
    <col min="3" max="3" width="24" customWidth="1"/>
    <col min="4" max="4" width="26" customWidth="1"/>
    <col min="5" max="6" width="24" customWidth="1"/>
    <col min="7" max="7" width="18" customWidth="1"/>
    <col min="8" max="11" width="14" customWidth="1"/>
    <col min="12" max="13" width="18" customWidth="1"/>
  </cols>
  <sheetData>
    <row r="1" spans="2:14" ht="33.75" customHeight="1" x14ac:dyDescent="0.35">
      <c r="B1" s="2" t="s">
        <v>189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2:14" ht="18" customHeight="1" x14ac:dyDescent="0.35">
      <c r="B2" s="1" t="s">
        <v>190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4" ht="31.5" customHeight="1" x14ac:dyDescent="0.35">
      <c r="B4" s="39" t="s">
        <v>46</v>
      </c>
      <c r="C4" s="39" t="s">
        <v>47</v>
      </c>
      <c r="D4" s="39" t="s">
        <v>191</v>
      </c>
      <c r="E4" s="39" t="s">
        <v>192</v>
      </c>
      <c r="F4" s="39" t="s">
        <v>193</v>
      </c>
      <c r="G4" s="39" t="s">
        <v>194</v>
      </c>
      <c r="H4" s="39" t="s">
        <v>195</v>
      </c>
      <c r="I4" s="39" t="s">
        <v>196</v>
      </c>
      <c r="J4" s="39" t="s">
        <v>197</v>
      </c>
      <c r="K4" s="39" t="s">
        <v>198</v>
      </c>
      <c r="L4" s="39" t="s">
        <v>199</v>
      </c>
      <c r="M4" s="39" t="s">
        <v>200</v>
      </c>
      <c r="N4" s="39" t="s">
        <v>201</v>
      </c>
    </row>
    <row r="5" spans="2:14" ht="27.75" customHeight="1" x14ac:dyDescent="0.35">
      <c r="B5" s="40">
        <v>1</v>
      </c>
      <c r="C5" s="41" t="s">
        <v>202</v>
      </c>
      <c r="D5" s="42" t="s">
        <v>203</v>
      </c>
      <c r="E5" s="42" t="s">
        <v>204</v>
      </c>
      <c r="F5" s="42" t="s">
        <v>205</v>
      </c>
      <c r="G5" s="42" t="s">
        <v>206</v>
      </c>
      <c r="H5" s="42" t="s">
        <v>207</v>
      </c>
      <c r="I5" s="43">
        <v>120</v>
      </c>
      <c r="J5" s="43">
        <v>15</v>
      </c>
      <c r="K5" s="43">
        <f>SUM(I5:I5)</f>
        <v>120</v>
      </c>
      <c r="L5" s="28" t="s">
        <v>214</v>
      </c>
      <c r="M5" s="42" t="s">
        <v>208</v>
      </c>
      <c r="N5" s="42" t="s">
        <v>62</v>
      </c>
    </row>
    <row r="6" spans="2:14" ht="27.75" customHeight="1" x14ac:dyDescent="0.35">
      <c r="B6" s="32">
        <v>2</v>
      </c>
      <c r="C6" s="41" t="s">
        <v>202</v>
      </c>
      <c r="D6" s="33" t="s">
        <v>209</v>
      </c>
      <c r="E6" s="33" t="s">
        <v>210</v>
      </c>
      <c r="F6" s="33" t="s">
        <v>211</v>
      </c>
      <c r="G6" s="33" t="s">
        <v>212</v>
      </c>
      <c r="H6" s="33" t="s">
        <v>213</v>
      </c>
      <c r="I6" s="43">
        <v>120</v>
      </c>
      <c r="J6" s="43">
        <v>15</v>
      </c>
      <c r="K6" s="43">
        <f>SUM(I5:I6)</f>
        <v>240</v>
      </c>
      <c r="L6" s="28" t="s">
        <v>214</v>
      </c>
      <c r="M6" s="33" t="s">
        <v>215</v>
      </c>
      <c r="N6" s="33" t="s">
        <v>62</v>
      </c>
    </row>
    <row r="7" spans="2:14" ht="27.75" customHeight="1" x14ac:dyDescent="0.35">
      <c r="B7" s="40">
        <v>3</v>
      </c>
      <c r="C7" s="41" t="s">
        <v>202</v>
      </c>
      <c r="D7" s="42" t="s">
        <v>216</v>
      </c>
      <c r="E7" s="42" t="s">
        <v>217</v>
      </c>
      <c r="F7" s="42" t="s">
        <v>218</v>
      </c>
      <c r="G7" s="42" t="s">
        <v>219</v>
      </c>
      <c r="H7" s="42" t="s">
        <v>220</v>
      </c>
      <c r="I7" s="43">
        <v>120</v>
      </c>
      <c r="J7" s="43">
        <v>15</v>
      </c>
      <c r="K7" s="43">
        <f>SUM(I5:I7)</f>
        <v>360</v>
      </c>
      <c r="L7" s="28" t="s">
        <v>214</v>
      </c>
      <c r="M7" s="42" t="s">
        <v>221</v>
      </c>
      <c r="N7" s="42" t="s">
        <v>82</v>
      </c>
    </row>
    <row r="8" spans="2:14" ht="27.75" customHeight="1" x14ac:dyDescent="0.35">
      <c r="B8" s="32">
        <v>4</v>
      </c>
      <c r="C8" s="41" t="s">
        <v>202</v>
      </c>
      <c r="D8" s="33" t="s">
        <v>222</v>
      </c>
      <c r="E8" s="33" t="s">
        <v>223</v>
      </c>
      <c r="F8" s="33" t="s">
        <v>224</v>
      </c>
      <c r="G8" s="33" t="s">
        <v>225</v>
      </c>
      <c r="H8" s="33" t="s">
        <v>226</v>
      </c>
      <c r="I8" s="43">
        <v>120</v>
      </c>
      <c r="J8" s="43">
        <v>15</v>
      </c>
      <c r="K8" s="43">
        <f>SUM(I5:I8)</f>
        <v>480</v>
      </c>
      <c r="L8" s="28" t="s">
        <v>214</v>
      </c>
      <c r="M8" s="33" t="s">
        <v>227</v>
      </c>
      <c r="N8" s="33" t="s">
        <v>82</v>
      </c>
    </row>
    <row r="9" spans="2:14" ht="27.75" customHeight="1" x14ac:dyDescent="0.35">
      <c r="B9" s="40">
        <v>5</v>
      </c>
      <c r="C9" s="41" t="s">
        <v>202</v>
      </c>
      <c r="D9" s="42" t="s">
        <v>228</v>
      </c>
      <c r="E9" s="42" t="s">
        <v>229</v>
      </c>
      <c r="F9" s="42" t="s">
        <v>230</v>
      </c>
      <c r="G9" s="42" t="s">
        <v>231</v>
      </c>
      <c r="H9" s="42" t="s">
        <v>232</v>
      </c>
      <c r="I9" s="43">
        <v>120</v>
      </c>
      <c r="J9" s="43">
        <v>15</v>
      </c>
      <c r="K9" s="43">
        <f>SUM(I5:I9)</f>
        <v>600</v>
      </c>
      <c r="L9" s="28" t="s">
        <v>214</v>
      </c>
      <c r="M9" s="42" t="s">
        <v>233</v>
      </c>
      <c r="N9" s="42" t="s">
        <v>123</v>
      </c>
    </row>
    <row r="10" spans="2:14" ht="27.75" customHeight="1" x14ac:dyDescent="0.35">
      <c r="B10" s="32">
        <v>6</v>
      </c>
      <c r="C10" s="41" t="s">
        <v>202</v>
      </c>
      <c r="D10" s="33" t="s">
        <v>234</v>
      </c>
      <c r="E10" s="33" t="s">
        <v>235</v>
      </c>
      <c r="F10" s="33" t="s">
        <v>236</v>
      </c>
      <c r="G10" s="33" t="s">
        <v>237</v>
      </c>
      <c r="H10" s="33" t="s">
        <v>238</v>
      </c>
      <c r="I10" s="43">
        <v>120</v>
      </c>
      <c r="J10" s="43">
        <v>15</v>
      </c>
      <c r="K10" s="43">
        <f>SUM(I5:I10)</f>
        <v>720</v>
      </c>
      <c r="L10" s="28" t="s">
        <v>214</v>
      </c>
      <c r="M10" s="33" t="s">
        <v>239</v>
      </c>
      <c r="N10" s="33" t="s">
        <v>123</v>
      </c>
    </row>
    <row r="11" spans="2:14" ht="27.75" customHeight="1" x14ac:dyDescent="0.35">
      <c r="B11" s="40">
        <v>7</v>
      </c>
      <c r="C11" s="41" t="s">
        <v>202</v>
      </c>
      <c r="D11" s="42" t="s">
        <v>240</v>
      </c>
      <c r="E11" s="42" t="s">
        <v>241</v>
      </c>
      <c r="F11" s="42" t="s">
        <v>242</v>
      </c>
      <c r="G11" s="42" t="s">
        <v>243</v>
      </c>
      <c r="H11" s="42" t="s">
        <v>244</v>
      </c>
      <c r="I11" s="43">
        <v>120</v>
      </c>
      <c r="J11" s="43">
        <v>15</v>
      </c>
      <c r="K11" s="43">
        <f>SUM(I5:I11)</f>
        <v>840</v>
      </c>
      <c r="L11" s="28" t="s">
        <v>214</v>
      </c>
      <c r="M11" s="42" t="s">
        <v>161</v>
      </c>
      <c r="N11" s="42" t="s">
        <v>123</v>
      </c>
    </row>
    <row r="12" spans="2:14" ht="27.75" customHeight="1" x14ac:dyDescent="0.35">
      <c r="B12" s="32">
        <v>8</v>
      </c>
      <c r="C12" s="41" t="s">
        <v>202</v>
      </c>
      <c r="D12" s="33" t="s">
        <v>245</v>
      </c>
      <c r="E12" s="33" t="s">
        <v>246</v>
      </c>
      <c r="F12" s="33" t="s">
        <v>247</v>
      </c>
      <c r="G12" s="33" t="s">
        <v>248</v>
      </c>
      <c r="H12" s="33" t="s">
        <v>249</v>
      </c>
      <c r="I12" s="43">
        <v>120</v>
      </c>
      <c r="J12" s="43">
        <v>15</v>
      </c>
      <c r="K12" s="43">
        <f>SUM(I5:I12)</f>
        <v>960</v>
      </c>
      <c r="L12" s="28" t="s">
        <v>214</v>
      </c>
      <c r="M12" s="33" t="s">
        <v>250</v>
      </c>
      <c r="N12" s="33" t="s">
        <v>82</v>
      </c>
    </row>
    <row r="13" spans="2:14" ht="27.75" customHeight="1" x14ac:dyDescent="0.35">
      <c r="B13" s="40">
        <v>9</v>
      </c>
      <c r="C13" s="44" t="s">
        <v>251</v>
      </c>
      <c r="D13" s="42" t="s">
        <v>252</v>
      </c>
      <c r="E13" s="42" t="s">
        <v>253</v>
      </c>
      <c r="F13" s="42" t="s">
        <v>254</v>
      </c>
      <c r="G13" s="42" t="s">
        <v>255</v>
      </c>
      <c r="H13" s="42" t="s">
        <v>256</v>
      </c>
      <c r="I13" s="43">
        <v>120</v>
      </c>
      <c r="J13" s="43">
        <v>18</v>
      </c>
      <c r="K13" s="43">
        <f>SUM(I5:I13)</f>
        <v>1080</v>
      </c>
      <c r="L13" s="28" t="s">
        <v>214</v>
      </c>
      <c r="M13" s="42" t="s">
        <v>257</v>
      </c>
      <c r="N13" s="42" t="s">
        <v>82</v>
      </c>
    </row>
    <row r="14" spans="2:14" ht="27.75" customHeight="1" x14ac:dyDescent="0.35">
      <c r="B14" s="32">
        <v>10</v>
      </c>
      <c r="C14" s="44" t="s">
        <v>251</v>
      </c>
      <c r="D14" s="33" t="s">
        <v>258</v>
      </c>
      <c r="E14" s="33" t="s">
        <v>259</v>
      </c>
      <c r="F14" s="33" t="s">
        <v>260</v>
      </c>
      <c r="G14" s="33" t="s">
        <v>261</v>
      </c>
      <c r="H14" s="33" t="s">
        <v>262</v>
      </c>
      <c r="I14" s="43">
        <v>120</v>
      </c>
      <c r="J14" s="43">
        <v>18</v>
      </c>
      <c r="K14" s="43">
        <f>SUM(I5:I14)</f>
        <v>1200</v>
      </c>
      <c r="L14" s="28" t="s">
        <v>214</v>
      </c>
      <c r="M14" s="33" t="s">
        <v>263</v>
      </c>
      <c r="N14" s="33" t="s">
        <v>123</v>
      </c>
    </row>
    <row r="15" spans="2:14" ht="27.75" customHeight="1" x14ac:dyDescent="0.35">
      <c r="B15" s="40">
        <v>11</v>
      </c>
      <c r="C15" s="44" t="s">
        <v>251</v>
      </c>
      <c r="D15" s="42" t="s">
        <v>264</v>
      </c>
      <c r="E15" s="42" t="s">
        <v>265</v>
      </c>
      <c r="F15" s="42" t="s">
        <v>266</v>
      </c>
      <c r="G15" s="42" t="s">
        <v>267</v>
      </c>
      <c r="H15" s="42" t="s">
        <v>268</v>
      </c>
      <c r="I15" s="43">
        <v>120</v>
      </c>
      <c r="J15" s="43">
        <v>18</v>
      </c>
      <c r="K15" s="43">
        <f>SUM(I5:I15)</f>
        <v>1320</v>
      </c>
      <c r="L15" s="28" t="s">
        <v>214</v>
      </c>
      <c r="M15" s="42" t="s">
        <v>269</v>
      </c>
      <c r="N15" s="42" t="s">
        <v>123</v>
      </c>
    </row>
    <row r="16" spans="2:14" ht="27.75" customHeight="1" x14ac:dyDescent="0.35">
      <c r="B16" s="32">
        <v>12</v>
      </c>
      <c r="C16" s="44" t="s">
        <v>251</v>
      </c>
      <c r="D16" s="33" t="s">
        <v>270</v>
      </c>
      <c r="E16" s="33" t="s">
        <v>271</v>
      </c>
      <c r="F16" s="33" t="s">
        <v>272</v>
      </c>
      <c r="G16" s="33" t="s">
        <v>273</v>
      </c>
      <c r="H16" s="33" t="s">
        <v>274</v>
      </c>
      <c r="I16" s="43">
        <v>120</v>
      </c>
      <c r="J16" s="43">
        <v>18</v>
      </c>
      <c r="K16" s="43">
        <f>SUM(I5:I16)</f>
        <v>1440</v>
      </c>
      <c r="L16" s="28" t="s">
        <v>214</v>
      </c>
      <c r="M16" s="33" t="s">
        <v>275</v>
      </c>
      <c r="N16" s="33" t="s">
        <v>123</v>
      </c>
    </row>
    <row r="17" spans="2:14" ht="27.75" customHeight="1" x14ac:dyDescent="0.35">
      <c r="B17" s="40">
        <v>13</v>
      </c>
      <c r="C17" s="44" t="s">
        <v>251</v>
      </c>
      <c r="D17" s="42" t="s">
        <v>276</v>
      </c>
      <c r="E17" s="42" t="s">
        <v>277</v>
      </c>
      <c r="F17" s="42" t="s">
        <v>278</v>
      </c>
      <c r="G17" s="42" t="s">
        <v>279</v>
      </c>
      <c r="H17" s="42" t="s">
        <v>280</v>
      </c>
      <c r="I17" s="43">
        <v>120</v>
      </c>
      <c r="J17" s="43">
        <v>18</v>
      </c>
      <c r="K17" s="43">
        <f>SUM(I5:I17)</f>
        <v>1560</v>
      </c>
      <c r="L17" s="28" t="s">
        <v>214</v>
      </c>
      <c r="M17" s="42" t="s">
        <v>281</v>
      </c>
      <c r="N17" s="42" t="s">
        <v>123</v>
      </c>
    </row>
    <row r="18" spans="2:14" ht="27.75" customHeight="1" x14ac:dyDescent="0.35">
      <c r="B18" s="32">
        <v>14</v>
      </c>
      <c r="C18" s="44" t="s">
        <v>251</v>
      </c>
      <c r="D18" s="33" t="s">
        <v>282</v>
      </c>
      <c r="E18" s="33" t="s">
        <v>283</v>
      </c>
      <c r="F18" s="33" t="s">
        <v>284</v>
      </c>
      <c r="G18" s="33" t="s">
        <v>285</v>
      </c>
      <c r="H18" s="33" t="s">
        <v>286</v>
      </c>
      <c r="I18" s="43">
        <v>120</v>
      </c>
      <c r="J18" s="43">
        <v>18</v>
      </c>
      <c r="K18" s="43">
        <f>SUM(I5:I18)</f>
        <v>1680</v>
      </c>
      <c r="L18" s="28" t="s">
        <v>214</v>
      </c>
      <c r="M18" s="33" t="s">
        <v>287</v>
      </c>
      <c r="N18" s="33" t="s">
        <v>288</v>
      </c>
    </row>
    <row r="19" spans="2:14" ht="27.75" customHeight="1" x14ac:dyDescent="0.35">
      <c r="B19" s="40">
        <v>15</v>
      </c>
      <c r="C19" s="44" t="s">
        <v>251</v>
      </c>
      <c r="D19" s="42" t="s">
        <v>289</v>
      </c>
      <c r="E19" s="42" t="s">
        <v>290</v>
      </c>
      <c r="F19" s="42" t="s">
        <v>291</v>
      </c>
      <c r="G19" s="42" t="s">
        <v>292</v>
      </c>
      <c r="H19" s="42" t="s">
        <v>293</v>
      </c>
      <c r="I19" s="43">
        <v>120</v>
      </c>
      <c r="J19" s="43">
        <v>18</v>
      </c>
      <c r="K19" s="43">
        <f>SUM(I5:I19)</f>
        <v>1800</v>
      </c>
      <c r="L19" s="28" t="s">
        <v>214</v>
      </c>
      <c r="M19" s="42" t="s">
        <v>294</v>
      </c>
      <c r="N19" s="42" t="s">
        <v>82</v>
      </c>
    </row>
    <row r="20" spans="2:14" ht="27.75" customHeight="1" x14ac:dyDescent="0.35">
      <c r="B20" s="32">
        <v>16</v>
      </c>
      <c r="C20" s="44" t="s">
        <v>251</v>
      </c>
      <c r="D20" s="33" t="s">
        <v>295</v>
      </c>
      <c r="E20" s="33" t="s">
        <v>296</v>
      </c>
      <c r="F20" s="33" t="s">
        <v>297</v>
      </c>
      <c r="G20" s="33" t="s">
        <v>298</v>
      </c>
      <c r="H20" s="33" t="s">
        <v>299</v>
      </c>
      <c r="I20" s="43">
        <v>120</v>
      </c>
      <c r="J20" s="43">
        <v>18</v>
      </c>
      <c r="K20" s="43">
        <f>SUM(I5:I20)</f>
        <v>1920</v>
      </c>
      <c r="L20" s="28" t="s">
        <v>214</v>
      </c>
      <c r="M20" s="33" t="s">
        <v>300</v>
      </c>
      <c r="N20" s="33" t="s">
        <v>123</v>
      </c>
    </row>
    <row r="21" spans="2:14" ht="27.75" customHeight="1" x14ac:dyDescent="0.35">
      <c r="B21" s="40">
        <v>17</v>
      </c>
      <c r="C21" s="45" t="s">
        <v>301</v>
      </c>
      <c r="D21" s="42" t="s">
        <v>302</v>
      </c>
      <c r="E21" s="42" t="s">
        <v>303</v>
      </c>
      <c r="F21" s="42" t="s">
        <v>304</v>
      </c>
      <c r="G21" s="42" t="s">
        <v>305</v>
      </c>
      <c r="H21" s="42" t="s">
        <v>306</v>
      </c>
      <c r="I21" s="43">
        <v>120</v>
      </c>
      <c r="J21" s="43">
        <v>20</v>
      </c>
      <c r="K21" s="43">
        <f>SUM(I5:I21)</f>
        <v>2040</v>
      </c>
      <c r="L21" s="28" t="s">
        <v>214</v>
      </c>
      <c r="M21" s="42" t="s">
        <v>307</v>
      </c>
      <c r="N21" s="42" t="s">
        <v>82</v>
      </c>
    </row>
    <row r="22" spans="2:14" ht="27.75" customHeight="1" x14ac:dyDescent="0.35">
      <c r="B22" s="32">
        <v>18</v>
      </c>
      <c r="C22" s="45" t="s">
        <v>301</v>
      </c>
      <c r="D22" s="33" t="s">
        <v>308</v>
      </c>
      <c r="E22" s="33" t="s">
        <v>309</v>
      </c>
      <c r="F22" s="33" t="s">
        <v>310</v>
      </c>
      <c r="G22" s="33" t="s">
        <v>311</v>
      </c>
      <c r="H22" s="33" t="s">
        <v>312</v>
      </c>
      <c r="I22" s="43">
        <v>120</v>
      </c>
      <c r="J22" s="43">
        <v>20</v>
      </c>
      <c r="K22" s="43">
        <f>SUM(I5:I22)</f>
        <v>2160</v>
      </c>
      <c r="L22" s="28" t="s">
        <v>214</v>
      </c>
      <c r="M22" s="33" t="s">
        <v>313</v>
      </c>
      <c r="N22" s="33" t="s">
        <v>123</v>
      </c>
    </row>
    <row r="23" spans="2:14" ht="27.75" customHeight="1" x14ac:dyDescent="0.35">
      <c r="B23" s="40">
        <v>19</v>
      </c>
      <c r="C23" s="45" t="s">
        <v>301</v>
      </c>
      <c r="D23" s="42" t="s">
        <v>314</v>
      </c>
      <c r="E23" s="42" t="s">
        <v>315</v>
      </c>
      <c r="F23" s="42" t="s">
        <v>296</v>
      </c>
      <c r="G23" s="42" t="s">
        <v>316</v>
      </c>
      <c r="H23" s="42" t="s">
        <v>317</v>
      </c>
      <c r="I23" s="43">
        <v>120</v>
      </c>
      <c r="J23" s="43">
        <v>20</v>
      </c>
      <c r="K23" s="43">
        <f>SUM(I5:I23)</f>
        <v>2280</v>
      </c>
      <c r="L23" s="28" t="s">
        <v>214</v>
      </c>
      <c r="M23" s="42" t="s">
        <v>318</v>
      </c>
      <c r="N23" s="42" t="s">
        <v>123</v>
      </c>
    </row>
    <row r="24" spans="2:14" ht="27.75" customHeight="1" x14ac:dyDescent="0.35">
      <c r="B24" s="32">
        <v>20</v>
      </c>
      <c r="C24" s="46" t="s">
        <v>319</v>
      </c>
      <c r="D24" s="33" t="s">
        <v>320</v>
      </c>
      <c r="E24" s="33" t="s">
        <v>321</v>
      </c>
      <c r="F24" s="33" t="s">
        <v>296</v>
      </c>
      <c r="G24" s="33" t="s">
        <v>322</v>
      </c>
      <c r="H24" s="33" t="s">
        <v>323</v>
      </c>
      <c r="I24" s="43">
        <v>120</v>
      </c>
      <c r="J24" s="43">
        <v>20</v>
      </c>
      <c r="K24" s="43">
        <f>SUM(I5:I24)</f>
        <v>2400</v>
      </c>
      <c r="L24" s="28" t="s">
        <v>214</v>
      </c>
      <c r="M24" s="33" t="s">
        <v>324</v>
      </c>
      <c r="N24" s="33" t="s">
        <v>288</v>
      </c>
    </row>
    <row r="25" spans="2:14" ht="27.75" customHeight="1" x14ac:dyDescent="0.35">
      <c r="B25" s="40">
        <v>21</v>
      </c>
      <c r="C25" s="46" t="s">
        <v>319</v>
      </c>
      <c r="D25" s="42" t="s">
        <v>325</v>
      </c>
      <c r="E25" s="42" t="s">
        <v>296</v>
      </c>
      <c r="F25" s="42" t="s">
        <v>326</v>
      </c>
      <c r="G25" s="42" t="s">
        <v>327</v>
      </c>
      <c r="H25" s="42" t="s">
        <v>328</v>
      </c>
      <c r="I25" s="43">
        <v>120</v>
      </c>
      <c r="J25" s="43">
        <v>20</v>
      </c>
      <c r="K25" s="43">
        <f>SUM(I5:I25)</f>
        <v>2520</v>
      </c>
      <c r="L25" s="28" t="s">
        <v>214</v>
      </c>
      <c r="M25" s="42" t="s">
        <v>329</v>
      </c>
      <c r="N25" s="42" t="s">
        <v>123</v>
      </c>
    </row>
    <row r="26" spans="2:14" ht="27.75" customHeight="1" x14ac:dyDescent="0.35">
      <c r="B26" s="32">
        <v>22</v>
      </c>
      <c r="C26" s="46" t="s">
        <v>319</v>
      </c>
      <c r="D26" s="33" t="s">
        <v>330</v>
      </c>
      <c r="E26" s="33" t="s">
        <v>331</v>
      </c>
      <c r="F26" s="33" t="s">
        <v>296</v>
      </c>
      <c r="G26" s="33" t="s">
        <v>332</v>
      </c>
      <c r="H26" s="33" t="s">
        <v>333</v>
      </c>
      <c r="I26" s="43">
        <v>120</v>
      </c>
      <c r="J26" s="43">
        <v>20</v>
      </c>
      <c r="K26" s="43">
        <f>SUM(I5:I26)</f>
        <v>2640</v>
      </c>
      <c r="L26" s="28" t="s">
        <v>214</v>
      </c>
      <c r="M26" s="33" t="s">
        <v>334</v>
      </c>
      <c r="N26" s="33" t="s">
        <v>82</v>
      </c>
    </row>
    <row r="27" spans="2:14" ht="27.75" customHeight="1" x14ac:dyDescent="0.35">
      <c r="B27" s="40">
        <v>23</v>
      </c>
      <c r="C27" s="46" t="s">
        <v>319</v>
      </c>
      <c r="D27" s="42" t="s">
        <v>335</v>
      </c>
      <c r="E27" s="42" t="s">
        <v>336</v>
      </c>
      <c r="F27" s="42" t="s">
        <v>337</v>
      </c>
      <c r="G27" s="42" t="s">
        <v>338</v>
      </c>
      <c r="H27" s="42" t="s">
        <v>339</v>
      </c>
      <c r="I27" s="43">
        <v>120</v>
      </c>
      <c r="J27" s="43">
        <v>20</v>
      </c>
      <c r="K27" s="43">
        <f>SUM(I5:I27)</f>
        <v>2760</v>
      </c>
      <c r="L27" s="28" t="s">
        <v>214</v>
      </c>
      <c r="M27" s="42" t="s">
        <v>340</v>
      </c>
      <c r="N27" s="42" t="s">
        <v>288</v>
      </c>
    </row>
    <row r="28" spans="2:14" ht="27.75" customHeight="1" x14ac:dyDescent="0.35">
      <c r="B28" s="32">
        <v>24</v>
      </c>
      <c r="C28" s="46" t="s">
        <v>319</v>
      </c>
      <c r="D28" s="33" t="s">
        <v>341</v>
      </c>
      <c r="E28" s="33" t="s">
        <v>342</v>
      </c>
      <c r="F28" s="33" t="s">
        <v>343</v>
      </c>
      <c r="G28" s="33" t="s">
        <v>344</v>
      </c>
      <c r="H28" s="33" t="s">
        <v>345</v>
      </c>
      <c r="I28" s="43">
        <v>120</v>
      </c>
      <c r="J28" s="43">
        <v>20</v>
      </c>
      <c r="K28" s="43">
        <f>SUM(I5:I28)</f>
        <v>2880</v>
      </c>
      <c r="L28" s="28" t="s">
        <v>214</v>
      </c>
      <c r="M28" s="33" t="s">
        <v>346</v>
      </c>
      <c r="N28" s="33" t="s">
        <v>123</v>
      </c>
    </row>
    <row r="29" spans="2:14" x14ac:dyDescent="0.35">
      <c r="B29" s="71" t="s">
        <v>347</v>
      </c>
      <c r="C29" s="71"/>
      <c r="D29" s="71"/>
      <c r="E29" s="71"/>
      <c r="F29" s="71"/>
      <c r="G29" s="71"/>
      <c r="H29" s="71"/>
      <c r="I29" s="47">
        <f>SUM(I5:I28)</f>
        <v>2880</v>
      </c>
      <c r="J29" s="47">
        <f>SUM(J5:J28)</f>
        <v>424</v>
      </c>
    </row>
  </sheetData>
  <mergeCells count="3">
    <mergeCell ref="B1:M1"/>
    <mergeCell ref="B2:M2"/>
    <mergeCell ref="B29:H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37"/>
  <sheetViews>
    <sheetView showGridLines="0" zoomScaleNormal="100" workbookViewId="0">
      <pane xSplit="1" ySplit="12" topLeftCell="B76" activePane="bottomRight" state="frozen"/>
      <selection pane="topRight" activeCell="B1" sqref="B1"/>
      <selection pane="bottomLeft" activeCell="A13" sqref="A13"/>
      <selection pane="bottomRight" activeCell="C5" sqref="C5:C9"/>
    </sheetView>
  </sheetViews>
  <sheetFormatPr defaultColWidth="8.6328125" defaultRowHeight="14.5" x14ac:dyDescent="0.35"/>
  <cols>
    <col min="1" max="1" width="3" customWidth="1"/>
    <col min="2" max="2" width="28.26953125" customWidth="1"/>
    <col min="3" max="3" width="22" customWidth="1"/>
    <col min="4" max="8" width="16" customWidth="1"/>
    <col min="9" max="11" width="18" customWidth="1"/>
    <col min="12" max="12" width="20" customWidth="1"/>
  </cols>
  <sheetData>
    <row r="1" spans="2:12" ht="33.75" customHeight="1" x14ac:dyDescent="0.35">
      <c r="B1" s="2" t="s">
        <v>348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15" customHeight="1" x14ac:dyDescent="0.35">
      <c r="B2" s="4" t="s">
        <v>349</v>
      </c>
      <c r="C2" s="4"/>
      <c r="D2" s="4"/>
      <c r="E2" s="4"/>
      <c r="F2" s="4"/>
      <c r="G2" s="4"/>
      <c r="H2" s="4"/>
      <c r="I2" s="4"/>
      <c r="J2" s="4"/>
      <c r="K2" s="4"/>
      <c r="L2" s="4"/>
    </row>
    <row r="4" spans="2:12" x14ac:dyDescent="0.35">
      <c r="B4" s="9" t="s">
        <v>350</v>
      </c>
      <c r="C4" s="9"/>
      <c r="D4" s="9"/>
      <c r="E4" s="9"/>
    </row>
    <row r="5" spans="2:12" ht="19.5" customHeight="1" x14ac:dyDescent="0.35">
      <c r="B5" s="48" t="s">
        <v>351</v>
      </c>
      <c r="C5" s="16"/>
      <c r="D5" s="49" t="s">
        <v>352</v>
      </c>
    </row>
    <row r="6" spans="2:12" ht="19.5" customHeight="1" x14ac:dyDescent="0.35">
      <c r="B6" s="48" t="s">
        <v>353</v>
      </c>
      <c r="C6" s="16"/>
      <c r="D6" s="49" t="s">
        <v>352</v>
      </c>
    </row>
    <row r="7" spans="2:12" ht="19.5" customHeight="1" x14ac:dyDescent="0.35">
      <c r="B7" s="48" t="s">
        <v>354</v>
      </c>
      <c r="C7" s="16"/>
      <c r="D7" s="49" t="s">
        <v>352</v>
      </c>
    </row>
    <row r="8" spans="2:12" ht="19.5" customHeight="1" x14ac:dyDescent="0.35">
      <c r="B8" s="48" t="s">
        <v>355</v>
      </c>
      <c r="C8" s="16"/>
      <c r="D8" s="49" t="s">
        <v>352</v>
      </c>
    </row>
    <row r="9" spans="2:12" ht="19.5" customHeight="1" x14ac:dyDescent="0.35">
      <c r="B9" s="48" t="s">
        <v>356</v>
      </c>
      <c r="C9" s="16"/>
      <c r="D9" s="49" t="s">
        <v>352</v>
      </c>
    </row>
    <row r="12" spans="2:12" ht="27.75" customHeight="1" x14ac:dyDescent="0.35">
      <c r="B12" s="50" t="s">
        <v>46</v>
      </c>
      <c r="C12" s="50" t="s">
        <v>47</v>
      </c>
      <c r="D12" s="50" t="s">
        <v>357</v>
      </c>
      <c r="E12" s="50" t="s">
        <v>358</v>
      </c>
      <c r="F12" s="50" t="s">
        <v>359</v>
      </c>
      <c r="G12" s="50" t="s">
        <v>360</v>
      </c>
      <c r="H12" s="50" t="s">
        <v>361</v>
      </c>
      <c r="I12" s="50" t="s">
        <v>362</v>
      </c>
      <c r="J12" s="50" t="s">
        <v>363</v>
      </c>
      <c r="K12" s="50" t="s">
        <v>364</v>
      </c>
      <c r="L12" s="50" t="s">
        <v>365</v>
      </c>
    </row>
    <row r="13" spans="2:12" ht="19.5" customHeight="1" x14ac:dyDescent="0.35">
      <c r="B13" s="51">
        <v>1</v>
      </c>
      <c r="C13" s="41" t="s">
        <v>202</v>
      </c>
      <c r="D13" s="51">
        <v>40</v>
      </c>
      <c r="E13" s="52"/>
      <c r="F13" s="51">
        <v>40</v>
      </c>
      <c r="G13" s="52"/>
      <c r="H13" s="51">
        <v>40</v>
      </c>
      <c r="I13" s="52"/>
      <c r="J13" s="51">
        <v>15</v>
      </c>
      <c r="K13" s="53">
        <f t="shared" ref="K13:K36" si="0">D13+F13+H13</f>
        <v>120</v>
      </c>
      <c r="L13" s="54">
        <f t="shared" ref="L13:L36" si="1">D13*130+F13*130+H13*115+J13*457</f>
        <v>21855</v>
      </c>
    </row>
    <row r="14" spans="2:12" ht="19.5" customHeight="1" x14ac:dyDescent="0.35">
      <c r="B14" s="51">
        <v>2</v>
      </c>
      <c r="C14" s="41" t="s">
        <v>202</v>
      </c>
      <c r="D14" s="51">
        <v>40</v>
      </c>
      <c r="E14" s="52"/>
      <c r="F14" s="51">
        <v>40</v>
      </c>
      <c r="G14" s="52"/>
      <c r="H14" s="51">
        <v>40</v>
      </c>
      <c r="I14" s="52"/>
      <c r="J14" s="51">
        <v>15</v>
      </c>
      <c r="K14" s="53">
        <f t="shared" si="0"/>
        <v>120</v>
      </c>
      <c r="L14" s="54">
        <f t="shared" si="1"/>
        <v>21855</v>
      </c>
    </row>
    <row r="15" spans="2:12" ht="19.5" customHeight="1" x14ac:dyDescent="0.35">
      <c r="B15" s="51">
        <v>3</v>
      </c>
      <c r="C15" s="41" t="s">
        <v>202</v>
      </c>
      <c r="D15" s="51">
        <v>40</v>
      </c>
      <c r="E15" s="52"/>
      <c r="F15" s="51">
        <v>40</v>
      </c>
      <c r="G15" s="52"/>
      <c r="H15" s="51">
        <v>40</v>
      </c>
      <c r="I15" s="52"/>
      <c r="J15" s="51">
        <v>15</v>
      </c>
      <c r="K15" s="53">
        <f t="shared" si="0"/>
        <v>120</v>
      </c>
      <c r="L15" s="54">
        <f t="shared" si="1"/>
        <v>21855</v>
      </c>
    </row>
    <row r="16" spans="2:12" ht="19.5" customHeight="1" x14ac:dyDescent="0.35">
      <c r="B16" s="51">
        <v>4</v>
      </c>
      <c r="C16" s="41" t="s">
        <v>202</v>
      </c>
      <c r="D16" s="51">
        <v>40</v>
      </c>
      <c r="E16" s="52"/>
      <c r="F16" s="51">
        <v>40</v>
      </c>
      <c r="G16" s="52"/>
      <c r="H16" s="51">
        <v>40</v>
      </c>
      <c r="I16" s="52"/>
      <c r="J16" s="51">
        <v>15</v>
      </c>
      <c r="K16" s="53">
        <f t="shared" si="0"/>
        <v>120</v>
      </c>
      <c r="L16" s="54">
        <f t="shared" si="1"/>
        <v>21855</v>
      </c>
    </row>
    <row r="17" spans="2:12" ht="19.5" customHeight="1" x14ac:dyDescent="0.35">
      <c r="B17" s="51">
        <v>5</v>
      </c>
      <c r="C17" s="41" t="s">
        <v>202</v>
      </c>
      <c r="D17" s="51">
        <v>40</v>
      </c>
      <c r="E17" s="52"/>
      <c r="F17" s="51">
        <v>40</v>
      </c>
      <c r="G17" s="52"/>
      <c r="H17" s="51">
        <v>40</v>
      </c>
      <c r="I17" s="52"/>
      <c r="J17" s="51">
        <v>15</v>
      </c>
      <c r="K17" s="53">
        <f t="shared" si="0"/>
        <v>120</v>
      </c>
      <c r="L17" s="54">
        <f t="shared" si="1"/>
        <v>21855</v>
      </c>
    </row>
    <row r="18" spans="2:12" ht="19.5" customHeight="1" x14ac:dyDescent="0.35">
      <c r="B18" s="51">
        <v>6</v>
      </c>
      <c r="C18" s="41" t="s">
        <v>202</v>
      </c>
      <c r="D18" s="51">
        <v>40</v>
      </c>
      <c r="E18" s="52"/>
      <c r="F18" s="51">
        <v>40</v>
      </c>
      <c r="G18" s="52"/>
      <c r="H18" s="51">
        <v>40</v>
      </c>
      <c r="I18" s="52"/>
      <c r="J18" s="51">
        <v>15</v>
      </c>
      <c r="K18" s="53">
        <f t="shared" si="0"/>
        <v>120</v>
      </c>
      <c r="L18" s="54">
        <f t="shared" si="1"/>
        <v>21855</v>
      </c>
    </row>
    <row r="19" spans="2:12" ht="19.5" customHeight="1" x14ac:dyDescent="0.35">
      <c r="B19" s="51">
        <v>7</v>
      </c>
      <c r="C19" s="41" t="s">
        <v>202</v>
      </c>
      <c r="D19" s="51">
        <v>40</v>
      </c>
      <c r="E19" s="52"/>
      <c r="F19" s="51">
        <v>40</v>
      </c>
      <c r="G19" s="52"/>
      <c r="H19" s="51">
        <v>40</v>
      </c>
      <c r="I19" s="52"/>
      <c r="J19" s="51">
        <v>15</v>
      </c>
      <c r="K19" s="53">
        <f t="shared" si="0"/>
        <v>120</v>
      </c>
      <c r="L19" s="54">
        <f t="shared" si="1"/>
        <v>21855</v>
      </c>
    </row>
    <row r="20" spans="2:12" ht="19.5" customHeight="1" x14ac:dyDescent="0.35">
      <c r="B20" s="51">
        <v>8</v>
      </c>
      <c r="C20" s="41" t="s">
        <v>202</v>
      </c>
      <c r="D20" s="51">
        <v>40</v>
      </c>
      <c r="E20" s="52"/>
      <c r="F20" s="51">
        <v>40</v>
      </c>
      <c r="G20" s="52"/>
      <c r="H20" s="51">
        <v>40</v>
      </c>
      <c r="I20" s="52"/>
      <c r="J20" s="51">
        <v>15</v>
      </c>
      <c r="K20" s="53">
        <f t="shared" si="0"/>
        <v>120</v>
      </c>
      <c r="L20" s="54">
        <f t="shared" si="1"/>
        <v>21855</v>
      </c>
    </row>
    <row r="21" spans="2:12" ht="19.5" customHeight="1" x14ac:dyDescent="0.35">
      <c r="B21" s="51">
        <v>9</v>
      </c>
      <c r="C21" s="44" t="s">
        <v>251</v>
      </c>
      <c r="D21" s="51">
        <v>40</v>
      </c>
      <c r="E21" s="52"/>
      <c r="F21" s="51">
        <v>40</v>
      </c>
      <c r="G21" s="52"/>
      <c r="H21" s="51">
        <v>40</v>
      </c>
      <c r="I21" s="52"/>
      <c r="J21" s="51">
        <v>18</v>
      </c>
      <c r="K21" s="53">
        <f t="shared" si="0"/>
        <v>120</v>
      </c>
      <c r="L21" s="54">
        <f t="shared" si="1"/>
        <v>23226</v>
      </c>
    </row>
    <row r="22" spans="2:12" ht="19.5" customHeight="1" x14ac:dyDescent="0.35">
      <c r="B22" s="51">
        <v>10</v>
      </c>
      <c r="C22" s="44" t="s">
        <v>251</v>
      </c>
      <c r="D22" s="51">
        <v>40</v>
      </c>
      <c r="E22" s="52"/>
      <c r="F22" s="51">
        <v>40</v>
      </c>
      <c r="G22" s="52"/>
      <c r="H22" s="51">
        <v>40</v>
      </c>
      <c r="I22" s="52"/>
      <c r="J22" s="51">
        <v>18</v>
      </c>
      <c r="K22" s="53">
        <f t="shared" si="0"/>
        <v>120</v>
      </c>
      <c r="L22" s="54">
        <f t="shared" si="1"/>
        <v>23226</v>
      </c>
    </row>
    <row r="23" spans="2:12" ht="19.5" customHeight="1" x14ac:dyDescent="0.35">
      <c r="B23" s="51">
        <v>11</v>
      </c>
      <c r="C23" s="44" t="s">
        <v>251</v>
      </c>
      <c r="D23" s="51">
        <v>40</v>
      </c>
      <c r="E23" s="52"/>
      <c r="F23" s="51">
        <v>40</v>
      </c>
      <c r="G23" s="52"/>
      <c r="H23" s="51">
        <v>40</v>
      </c>
      <c r="I23" s="52"/>
      <c r="J23" s="51">
        <v>18</v>
      </c>
      <c r="K23" s="53">
        <f t="shared" si="0"/>
        <v>120</v>
      </c>
      <c r="L23" s="54">
        <f t="shared" si="1"/>
        <v>23226</v>
      </c>
    </row>
    <row r="24" spans="2:12" ht="19.5" customHeight="1" x14ac:dyDescent="0.35">
      <c r="B24" s="51">
        <v>12</v>
      </c>
      <c r="C24" s="44" t="s">
        <v>251</v>
      </c>
      <c r="D24" s="51">
        <v>40</v>
      </c>
      <c r="E24" s="52"/>
      <c r="F24" s="51">
        <v>40</v>
      </c>
      <c r="G24" s="52"/>
      <c r="H24" s="51">
        <v>40</v>
      </c>
      <c r="I24" s="52"/>
      <c r="J24" s="51">
        <v>18</v>
      </c>
      <c r="K24" s="53">
        <f t="shared" si="0"/>
        <v>120</v>
      </c>
      <c r="L24" s="54">
        <f t="shared" si="1"/>
        <v>23226</v>
      </c>
    </row>
    <row r="25" spans="2:12" ht="19.5" customHeight="1" x14ac:dyDescent="0.35">
      <c r="B25" s="51">
        <v>13</v>
      </c>
      <c r="C25" s="44" t="s">
        <v>251</v>
      </c>
      <c r="D25" s="51">
        <v>40</v>
      </c>
      <c r="E25" s="52"/>
      <c r="F25" s="51">
        <v>40</v>
      </c>
      <c r="G25" s="52"/>
      <c r="H25" s="51">
        <v>40</v>
      </c>
      <c r="I25" s="52"/>
      <c r="J25" s="51">
        <v>18</v>
      </c>
      <c r="K25" s="53">
        <f t="shared" si="0"/>
        <v>120</v>
      </c>
      <c r="L25" s="54">
        <f t="shared" si="1"/>
        <v>23226</v>
      </c>
    </row>
    <row r="26" spans="2:12" ht="19.5" customHeight="1" x14ac:dyDescent="0.35">
      <c r="B26" s="51">
        <v>14</v>
      </c>
      <c r="C26" s="44" t="s">
        <v>251</v>
      </c>
      <c r="D26" s="51">
        <v>40</v>
      </c>
      <c r="E26" s="52"/>
      <c r="F26" s="51">
        <v>40</v>
      </c>
      <c r="G26" s="52"/>
      <c r="H26" s="51">
        <v>40</v>
      </c>
      <c r="I26" s="52"/>
      <c r="J26" s="51">
        <v>18</v>
      </c>
      <c r="K26" s="53">
        <f t="shared" si="0"/>
        <v>120</v>
      </c>
      <c r="L26" s="54">
        <f t="shared" si="1"/>
        <v>23226</v>
      </c>
    </row>
    <row r="27" spans="2:12" ht="19.5" customHeight="1" x14ac:dyDescent="0.35">
      <c r="B27" s="51">
        <v>15</v>
      </c>
      <c r="C27" s="44" t="s">
        <v>251</v>
      </c>
      <c r="D27" s="51">
        <v>40</v>
      </c>
      <c r="E27" s="52"/>
      <c r="F27" s="51">
        <v>40</v>
      </c>
      <c r="G27" s="52"/>
      <c r="H27" s="51">
        <v>40</v>
      </c>
      <c r="I27" s="52"/>
      <c r="J27" s="51">
        <v>18</v>
      </c>
      <c r="K27" s="53">
        <f t="shared" si="0"/>
        <v>120</v>
      </c>
      <c r="L27" s="54">
        <f t="shared" si="1"/>
        <v>23226</v>
      </c>
    </row>
    <row r="28" spans="2:12" ht="19.5" customHeight="1" x14ac:dyDescent="0.35">
      <c r="B28" s="51">
        <v>16</v>
      </c>
      <c r="C28" s="44" t="s">
        <v>251</v>
      </c>
      <c r="D28" s="51">
        <v>40</v>
      </c>
      <c r="E28" s="52"/>
      <c r="F28" s="51">
        <v>40</v>
      </c>
      <c r="G28" s="52"/>
      <c r="H28" s="51">
        <v>40</v>
      </c>
      <c r="I28" s="52"/>
      <c r="J28" s="51">
        <v>18</v>
      </c>
      <c r="K28" s="53">
        <f t="shared" si="0"/>
        <v>120</v>
      </c>
      <c r="L28" s="54">
        <f t="shared" si="1"/>
        <v>23226</v>
      </c>
    </row>
    <row r="29" spans="2:12" ht="19.5" customHeight="1" x14ac:dyDescent="0.35">
      <c r="B29" s="51">
        <v>17</v>
      </c>
      <c r="C29" s="45" t="s">
        <v>301</v>
      </c>
      <c r="D29" s="51">
        <v>40</v>
      </c>
      <c r="E29" s="52"/>
      <c r="F29" s="51">
        <v>40</v>
      </c>
      <c r="G29" s="52"/>
      <c r="H29" s="51">
        <v>40</v>
      </c>
      <c r="I29" s="52"/>
      <c r="J29" s="51">
        <v>20</v>
      </c>
      <c r="K29" s="53">
        <f t="shared" si="0"/>
        <v>120</v>
      </c>
      <c r="L29" s="54">
        <f t="shared" si="1"/>
        <v>24140</v>
      </c>
    </row>
    <row r="30" spans="2:12" ht="19.5" customHeight="1" x14ac:dyDescent="0.35">
      <c r="B30" s="51">
        <v>18</v>
      </c>
      <c r="C30" s="45" t="s">
        <v>301</v>
      </c>
      <c r="D30" s="51">
        <v>40</v>
      </c>
      <c r="E30" s="52"/>
      <c r="F30" s="51">
        <v>40</v>
      </c>
      <c r="G30" s="52"/>
      <c r="H30" s="51">
        <v>40</v>
      </c>
      <c r="I30" s="52"/>
      <c r="J30" s="51">
        <v>20</v>
      </c>
      <c r="K30" s="53">
        <f t="shared" si="0"/>
        <v>120</v>
      </c>
      <c r="L30" s="54">
        <f t="shared" si="1"/>
        <v>24140</v>
      </c>
    </row>
    <row r="31" spans="2:12" ht="19.5" customHeight="1" x14ac:dyDescent="0.35">
      <c r="B31" s="51">
        <v>19</v>
      </c>
      <c r="C31" s="45" t="s">
        <v>301</v>
      </c>
      <c r="D31" s="51">
        <v>40</v>
      </c>
      <c r="E31" s="52"/>
      <c r="F31" s="51">
        <v>40</v>
      </c>
      <c r="G31" s="52"/>
      <c r="H31" s="51">
        <v>40</v>
      </c>
      <c r="I31" s="52"/>
      <c r="J31" s="51">
        <v>20</v>
      </c>
      <c r="K31" s="53">
        <f t="shared" si="0"/>
        <v>120</v>
      </c>
      <c r="L31" s="54">
        <f t="shared" si="1"/>
        <v>24140</v>
      </c>
    </row>
    <row r="32" spans="2:12" ht="19.5" customHeight="1" x14ac:dyDescent="0.35">
      <c r="B32" s="51">
        <v>20</v>
      </c>
      <c r="C32" s="46" t="s">
        <v>319</v>
      </c>
      <c r="D32" s="51">
        <v>40</v>
      </c>
      <c r="E32" s="52"/>
      <c r="F32" s="51">
        <v>40</v>
      </c>
      <c r="G32" s="52"/>
      <c r="H32" s="51">
        <v>40</v>
      </c>
      <c r="I32" s="52"/>
      <c r="J32" s="51">
        <v>20</v>
      </c>
      <c r="K32" s="53">
        <f t="shared" si="0"/>
        <v>120</v>
      </c>
      <c r="L32" s="54">
        <f t="shared" si="1"/>
        <v>24140</v>
      </c>
    </row>
    <row r="33" spans="2:12" ht="19.5" customHeight="1" x14ac:dyDescent="0.35">
      <c r="B33" s="51">
        <v>21</v>
      </c>
      <c r="C33" s="46" t="s">
        <v>319</v>
      </c>
      <c r="D33" s="51">
        <v>40</v>
      </c>
      <c r="E33" s="52"/>
      <c r="F33" s="51">
        <v>40</v>
      </c>
      <c r="G33" s="52"/>
      <c r="H33" s="51">
        <v>40</v>
      </c>
      <c r="I33" s="52"/>
      <c r="J33" s="51">
        <v>20</v>
      </c>
      <c r="K33" s="53">
        <f t="shared" si="0"/>
        <v>120</v>
      </c>
      <c r="L33" s="54">
        <f t="shared" si="1"/>
        <v>24140</v>
      </c>
    </row>
    <row r="34" spans="2:12" ht="19.5" customHeight="1" x14ac:dyDescent="0.35">
      <c r="B34" s="51">
        <v>22</v>
      </c>
      <c r="C34" s="46" t="s">
        <v>319</v>
      </c>
      <c r="D34" s="51">
        <v>40</v>
      </c>
      <c r="E34" s="52"/>
      <c r="F34" s="51">
        <v>40</v>
      </c>
      <c r="G34" s="52"/>
      <c r="H34" s="51">
        <v>40</v>
      </c>
      <c r="I34" s="52"/>
      <c r="J34" s="51">
        <v>20</v>
      </c>
      <c r="K34" s="53">
        <f t="shared" si="0"/>
        <v>120</v>
      </c>
      <c r="L34" s="54">
        <f t="shared" si="1"/>
        <v>24140</v>
      </c>
    </row>
    <row r="35" spans="2:12" ht="19.5" customHeight="1" x14ac:dyDescent="0.35">
      <c r="B35" s="51">
        <v>23</v>
      </c>
      <c r="C35" s="46" t="s">
        <v>319</v>
      </c>
      <c r="D35" s="51">
        <v>40</v>
      </c>
      <c r="E35" s="52"/>
      <c r="F35" s="51">
        <v>40</v>
      </c>
      <c r="G35" s="52"/>
      <c r="H35" s="51">
        <v>40</v>
      </c>
      <c r="I35" s="52"/>
      <c r="J35" s="51">
        <v>20</v>
      </c>
      <c r="K35" s="53">
        <f t="shared" si="0"/>
        <v>120</v>
      </c>
      <c r="L35" s="54">
        <f t="shared" si="1"/>
        <v>24140</v>
      </c>
    </row>
    <row r="36" spans="2:12" ht="19.5" customHeight="1" x14ac:dyDescent="0.35">
      <c r="B36" s="51">
        <v>24</v>
      </c>
      <c r="C36" s="46" t="s">
        <v>319</v>
      </c>
      <c r="D36" s="51">
        <v>40</v>
      </c>
      <c r="E36" s="52"/>
      <c r="F36" s="51">
        <v>40</v>
      </c>
      <c r="G36" s="52"/>
      <c r="H36" s="51">
        <v>40</v>
      </c>
      <c r="I36" s="52"/>
      <c r="J36" s="51">
        <v>20</v>
      </c>
      <c r="K36" s="53">
        <f t="shared" si="0"/>
        <v>120</v>
      </c>
      <c r="L36" s="54">
        <f t="shared" si="1"/>
        <v>24140</v>
      </c>
    </row>
    <row r="37" spans="2:12" x14ac:dyDescent="0.35">
      <c r="B37" s="71" t="s">
        <v>366</v>
      </c>
      <c r="C37" s="71"/>
      <c r="D37" s="55">
        <f>SUM(D13:D36)</f>
        <v>960</v>
      </c>
      <c r="F37" s="55">
        <f>SUM(F13:F36)</f>
        <v>960</v>
      </c>
      <c r="H37" s="55">
        <f>SUM(H13:H36)</f>
        <v>960</v>
      </c>
      <c r="J37" s="55">
        <f>SUM(J13:J36)</f>
        <v>424</v>
      </c>
      <c r="K37" s="55">
        <f>SUM(K13:K36)</f>
        <v>2880</v>
      </c>
      <c r="L37" s="56">
        <f>SUM(L13:L36)</f>
        <v>553768</v>
      </c>
    </row>
  </sheetData>
  <mergeCells count="4">
    <mergeCell ref="B1:L1"/>
    <mergeCell ref="B2:L2"/>
    <mergeCell ref="B4:E4"/>
    <mergeCell ref="B37:C3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1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6" sqref="C6"/>
    </sheetView>
  </sheetViews>
  <sheetFormatPr defaultColWidth="8.6328125" defaultRowHeight="14.5" x14ac:dyDescent="0.35"/>
  <cols>
    <col min="1" max="1" width="3" customWidth="1"/>
    <col min="2" max="2" width="25" customWidth="1"/>
    <col min="3" max="3" width="26" customWidth="1"/>
    <col min="4" max="6" width="14" customWidth="1"/>
    <col min="7" max="7" width="28" customWidth="1"/>
    <col min="8" max="8" width="22" customWidth="1"/>
    <col min="9" max="10" width="16" customWidth="1"/>
  </cols>
  <sheetData>
    <row r="1" spans="2:10" ht="33.75" customHeight="1" x14ac:dyDescent="0.35">
      <c r="B1" s="72" t="s">
        <v>368</v>
      </c>
      <c r="C1" s="72"/>
      <c r="D1" s="72"/>
      <c r="E1" s="72"/>
      <c r="F1" s="72"/>
      <c r="G1" s="72"/>
      <c r="H1" s="72"/>
      <c r="I1" s="72"/>
      <c r="J1" s="72"/>
    </row>
    <row r="4" spans="2:10" ht="27.75" customHeight="1" x14ac:dyDescent="0.35">
      <c r="C4" s="57" t="s">
        <v>369</v>
      </c>
      <c r="D4" s="57" t="s">
        <v>370</v>
      </c>
      <c r="E4" s="57" t="s">
        <v>371</v>
      </c>
      <c r="F4" s="57" t="s">
        <v>372</v>
      </c>
      <c r="G4" s="57" t="s">
        <v>373</v>
      </c>
      <c r="H4" s="57" t="s">
        <v>374</v>
      </c>
      <c r="I4" s="57" t="s">
        <v>375</v>
      </c>
      <c r="J4" s="57" t="s">
        <v>199</v>
      </c>
    </row>
    <row r="5" spans="2:10" ht="27.75" customHeight="1" x14ac:dyDescent="0.35">
      <c r="B5" s="42" t="s">
        <v>376</v>
      </c>
      <c r="C5" s="42" t="s">
        <v>376</v>
      </c>
      <c r="D5" s="58">
        <v>4</v>
      </c>
      <c r="E5" s="58">
        <v>4</v>
      </c>
      <c r="F5" s="59">
        <f t="shared" ref="F5:F14" si="0">D5*E5</f>
        <v>16</v>
      </c>
      <c r="G5" s="42" t="s">
        <v>377</v>
      </c>
      <c r="H5" s="42" t="s">
        <v>378</v>
      </c>
      <c r="I5" s="42">
        <v>1</v>
      </c>
      <c r="J5" s="42" t="s">
        <v>379</v>
      </c>
    </row>
    <row r="6" spans="2:10" ht="27.75" customHeight="1" x14ac:dyDescent="0.35">
      <c r="B6" s="33" t="s">
        <v>380</v>
      </c>
      <c r="C6" s="33" t="s">
        <v>380</v>
      </c>
      <c r="D6" s="58">
        <v>4</v>
      </c>
      <c r="E6" s="58">
        <v>5</v>
      </c>
      <c r="F6" s="59">
        <f t="shared" si="0"/>
        <v>20</v>
      </c>
      <c r="G6" s="33" t="s">
        <v>381</v>
      </c>
      <c r="H6" s="33" t="s">
        <v>378</v>
      </c>
      <c r="I6" s="33">
        <v>6</v>
      </c>
      <c r="J6" s="33" t="s">
        <v>382</v>
      </c>
    </row>
    <row r="7" spans="2:10" ht="27.75" customHeight="1" x14ac:dyDescent="0.35">
      <c r="B7" s="42" t="s">
        <v>383</v>
      </c>
      <c r="C7" s="42" t="s">
        <v>383</v>
      </c>
      <c r="D7" s="60">
        <v>3</v>
      </c>
      <c r="E7" s="60">
        <v>4</v>
      </c>
      <c r="F7" s="61">
        <f t="shared" si="0"/>
        <v>12</v>
      </c>
      <c r="G7" s="42" t="s">
        <v>384</v>
      </c>
      <c r="H7" s="42" t="s">
        <v>367</v>
      </c>
      <c r="I7" s="42">
        <v>8</v>
      </c>
      <c r="J7" s="42" t="s">
        <v>379</v>
      </c>
    </row>
    <row r="8" spans="2:10" ht="27.75" customHeight="1" x14ac:dyDescent="0.35">
      <c r="B8" s="33" t="s">
        <v>385</v>
      </c>
      <c r="C8" s="33" t="s">
        <v>385</v>
      </c>
      <c r="D8" s="58">
        <v>3</v>
      </c>
      <c r="E8" s="58">
        <v>5</v>
      </c>
      <c r="F8" s="59">
        <f t="shared" si="0"/>
        <v>15</v>
      </c>
      <c r="G8" s="33" t="s">
        <v>386</v>
      </c>
      <c r="H8" s="33" t="s">
        <v>367</v>
      </c>
      <c r="I8" s="33">
        <v>1</v>
      </c>
      <c r="J8" s="33" t="s">
        <v>379</v>
      </c>
    </row>
    <row r="9" spans="2:10" ht="27.75" customHeight="1" x14ac:dyDescent="0.35">
      <c r="B9" s="42" t="s">
        <v>387</v>
      </c>
      <c r="C9" s="42" t="s">
        <v>387</v>
      </c>
      <c r="D9" s="62">
        <v>2</v>
      </c>
      <c r="E9" s="62">
        <v>3</v>
      </c>
      <c r="F9" s="63">
        <f t="shared" si="0"/>
        <v>6</v>
      </c>
      <c r="G9" s="42" t="s">
        <v>388</v>
      </c>
      <c r="H9" s="42" t="s">
        <v>389</v>
      </c>
      <c r="I9" s="42">
        <v>9</v>
      </c>
      <c r="J9" s="42" t="s">
        <v>390</v>
      </c>
    </row>
    <row r="10" spans="2:10" ht="27.75" customHeight="1" x14ac:dyDescent="0.35">
      <c r="B10" s="33" t="s">
        <v>391</v>
      </c>
      <c r="C10" s="33" t="s">
        <v>391</v>
      </c>
      <c r="D10" s="60">
        <v>3</v>
      </c>
      <c r="E10" s="60">
        <v>4</v>
      </c>
      <c r="F10" s="61">
        <f t="shared" si="0"/>
        <v>12</v>
      </c>
      <c r="G10" s="33" t="s">
        <v>392</v>
      </c>
      <c r="H10" s="33" t="s">
        <v>378</v>
      </c>
      <c r="I10" s="33">
        <v>1</v>
      </c>
      <c r="J10" s="33" t="s">
        <v>379</v>
      </c>
    </row>
    <row r="11" spans="2:10" ht="27.75" customHeight="1" x14ac:dyDescent="0.35">
      <c r="B11" s="42" t="s">
        <v>393</v>
      </c>
      <c r="C11" s="42" t="s">
        <v>393</v>
      </c>
      <c r="D11" s="60">
        <v>2</v>
      </c>
      <c r="E11" s="60">
        <v>5</v>
      </c>
      <c r="F11" s="61">
        <f t="shared" si="0"/>
        <v>10</v>
      </c>
      <c r="G11" s="42" t="s">
        <v>394</v>
      </c>
      <c r="H11" s="42" t="s">
        <v>395</v>
      </c>
      <c r="I11" s="42">
        <v>17</v>
      </c>
      <c r="J11" s="42" t="s">
        <v>379</v>
      </c>
    </row>
    <row r="12" spans="2:10" ht="27.75" customHeight="1" x14ac:dyDescent="0.35">
      <c r="B12" s="33" t="s">
        <v>396</v>
      </c>
      <c r="C12" s="33" t="s">
        <v>396</v>
      </c>
      <c r="D12" s="62">
        <v>2</v>
      </c>
      <c r="E12" s="62">
        <v>3</v>
      </c>
      <c r="F12" s="63">
        <f t="shared" si="0"/>
        <v>6</v>
      </c>
      <c r="G12" s="33" t="s">
        <v>397</v>
      </c>
      <c r="H12" s="33" t="s">
        <v>398</v>
      </c>
      <c r="I12" s="33">
        <v>21</v>
      </c>
      <c r="J12" s="33" t="s">
        <v>390</v>
      </c>
    </row>
    <row r="13" spans="2:10" ht="27.75" customHeight="1" x14ac:dyDescent="0.35">
      <c r="B13" s="42" t="s">
        <v>399</v>
      </c>
      <c r="C13" s="42" t="s">
        <v>399</v>
      </c>
      <c r="D13" s="60">
        <v>3</v>
      </c>
      <c r="E13" s="60">
        <v>4</v>
      </c>
      <c r="F13" s="61">
        <f t="shared" si="0"/>
        <v>12</v>
      </c>
      <c r="G13" s="42" t="s">
        <v>400</v>
      </c>
      <c r="H13" s="42" t="s">
        <v>401</v>
      </c>
      <c r="I13" s="42">
        <v>12</v>
      </c>
      <c r="J13" s="42" t="s">
        <v>379</v>
      </c>
    </row>
    <row r="14" spans="2:10" ht="27.75" customHeight="1" x14ac:dyDescent="0.35">
      <c r="B14" s="33" t="s">
        <v>402</v>
      </c>
      <c r="C14" s="33" t="s">
        <v>402</v>
      </c>
      <c r="D14" s="60">
        <v>3</v>
      </c>
      <c r="E14" s="60">
        <v>4</v>
      </c>
      <c r="F14" s="61">
        <f t="shared" si="0"/>
        <v>12</v>
      </c>
      <c r="G14" s="33" t="s">
        <v>403</v>
      </c>
      <c r="H14" s="33" t="s">
        <v>367</v>
      </c>
      <c r="I14" s="33">
        <v>1</v>
      </c>
      <c r="J14" s="33" t="s">
        <v>379</v>
      </c>
    </row>
  </sheetData>
  <mergeCells count="1">
    <mergeCell ref="B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2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3" customWidth="1"/>
    <col min="2" max="2" width="8" customWidth="1"/>
    <col min="3" max="7" width="20" customWidth="1"/>
    <col min="8" max="8" width="16" customWidth="1"/>
  </cols>
  <sheetData>
    <row r="1" spans="2:9" ht="33.75" customHeight="1" x14ac:dyDescent="0.35">
      <c r="B1" s="73" t="s">
        <v>404</v>
      </c>
      <c r="C1" s="73"/>
      <c r="D1" s="73"/>
      <c r="E1" s="73"/>
      <c r="F1" s="73"/>
      <c r="G1" s="73"/>
      <c r="H1" s="73"/>
    </row>
    <row r="2" spans="2:9" ht="15" customHeight="1" x14ac:dyDescent="0.35">
      <c r="B2" s="74" t="s">
        <v>405</v>
      </c>
      <c r="C2" s="74"/>
      <c r="D2" s="74"/>
      <c r="E2" s="74"/>
      <c r="F2" s="74"/>
      <c r="G2" s="74"/>
      <c r="H2" s="74"/>
    </row>
    <row r="4" spans="2:9" ht="24" customHeight="1" x14ac:dyDescent="0.35">
      <c r="B4" s="39" t="s">
        <v>46</v>
      </c>
      <c r="C4" s="39" t="s">
        <v>406</v>
      </c>
      <c r="D4" s="39" t="s">
        <v>407</v>
      </c>
      <c r="E4" s="39" t="s">
        <v>408</v>
      </c>
      <c r="F4" s="39" t="s">
        <v>409</v>
      </c>
      <c r="G4" s="39" t="s">
        <v>410</v>
      </c>
      <c r="H4" s="39" t="s">
        <v>411</v>
      </c>
      <c r="I4" s="39" t="s">
        <v>412</v>
      </c>
    </row>
    <row r="5" spans="2:9" ht="63.75" customHeight="1" x14ac:dyDescent="0.35">
      <c r="B5" s="64">
        <v>1</v>
      </c>
      <c r="C5" s="65" t="s">
        <v>413</v>
      </c>
      <c r="D5" s="65" t="s">
        <v>414</v>
      </c>
      <c r="E5" s="65" t="s">
        <v>415</v>
      </c>
      <c r="F5" s="65" t="s">
        <v>415</v>
      </c>
      <c r="G5" s="65" t="s">
        <v>416</v>
      </c>
      <c r="H5" s="65" t="s">
        <v>417</v>
      </c>
      <c r="I5" s="66" t="s">
        <v>418</v>
      </c>
    </row>
    <row r="6" spans="2:9" ht="63.75" customHeight="1" x14ac:dyDescent="0.35">
      <c r="B6" s="67">
        <v>2</v>
      </c>
      <c r="C6" s="68" t="s">
        <v>419</v>
      </c>
      <c r="D6" s="68" t="s">
        <v>420</v>
      </c>
      <c r="E6" s="68" t="s">
        <v>421</v>
      </c>
      <c r="F6" s="68" t="s">
        <v>422</v>
      </c>
      <c r="G6" s="68" t="s">
        <v>423</v>
      </c>
      <c r="H6" s="68" t="s">
        <v>424</v>
      </c>
      <c r="I6" s="66" t="s">
        <v>425</v>
      </c>
    </row>
    <row r="7" spans="2:9" ht="63.75" customHeight="1" x14ac:dyDescent="0.35">
      <c r="B7" s="69">
        <v>3</v>
      </c>
      <c r="C7" s="65" t="s">
        <v>426</v>
      </c>
      <c r="D7" s="65" t="s">
        <v>427</v>
      </c>
      <c r="E7" s="65" t="s">
        <v>428</v>
      </c>
      <c r="F7" s="65" t="s">
        <v>429</v>
      </c>
      <c r="G7" s="65" t="s">
        <v>430</v>
      </c>
      <c r="H7" s="65" t="s">
        <v>431</v>
      </c>
      <c r="I7" s="66" t="s">
        <v>432</v>
      </c>
    </row>
    <row r="8" spans="2:9" ht="63.75" customHeight="1" x14ac:dyDescent="0.35">
      <c r="B8" s="70">
        <v>4</v>
      </c>
      <c r="C8" s="68" t="s">
        <v>433</v>
      </c>
      <c r="D8" s="68" t="s">
        <v>434</v>
      </c>
      <c r="E8" s="68" t="s">
        <v>435</v>
      </c>
      <c r="F8" s="68" t="s">
        <v>436</v>
      </c>
      <c r="G8" s="68" t="s">
        <v>437</v>
      </c>
      <c r="H8" s="68" t="s">
        <v>438</v>
      </c>
      <c r="I8" s="66" t="s">
        <v>439</v>
      </c>
    </row>
    <row r="9" spans="2:9" ht="63.75" customHeight="1" x14ac:dyDescent="0.35">
      <c r="B9" s="64">
        <v>5</v>
      </c>
      <c r="C9" s="65" t="s">
        <v>440</v>
      </c>
      <c r="D9" s="65" t="s">
        <v>441</v>
      </c>
      <c r="E9" s="65" t="s">
        <v>442</v>
      </c>
      <c r="F9" s="65" t="s">
        <v>443</v>
      </c>
      <c r="G9" s="65" t="s">
        <v>444</v>
      </c>
      <c r="H9" s="65" t="s">
        <v>445</v>
      </c>
      <c r="I9" s="66" t="s">
        <v>446</v>
      </c>
    </row>
    <row r="10" spans="2:9" ht="63.75" customHeight="1" x14ac:dyDescent="0.35">
      <c r="B10" s="67">
        <v>6</v>
      </c>
      <c r="C10" s="68" t="s">
        <v>447</v>
      </c>
      <c r="D10" s="68" t="s">
        <v>448</v>
      </c>
      <c r="E10" s="68" t="s">
        <v>449</v>
      </c>
      <c r="F10" s="68" t="s">
        <v>450</v>
      </c>
      <c r="G10" s="68" t="s">
        <v>451</v>
      </c>
      <c r="H10" s="68" t="s">
        <v>452</v>
      </c>
      <c r="I10" s="66" t="s">
        <v>453</v>
      </c>
    </row>
    <row r="11" spans="2:9" ht="63.75" customHeight="1" x14ac:dyDescent="0.35">
      <c r="B11" s="69">
        <v>7</v>
      </c>
      <c r="C11" s="65" t="s">
        <v>454</v>
      </c>
      <c r="D11" s="65" t="s">
        <v>455</v>
      </c>
      <c r="E11" s="65" t="s">
        <v>456</v>
      </c>
      <c r="F11" s="65" t="s">
        <v>457</v>
      </c>
      <c r="G11" s="65" t="s">
        <v>458</v>
      </c>
      <c r="H11" s="65" t="s">
        <v>459</v>
      </c>
      <c r="I11" s="66" t="s">
        <v>460</v>
      </c>
    </row>
    <row r="12" spans="2:9" ht="63.75" customHeight="1" x14ac:dyDescent="0.35">
      <c r="B12" s="70">
        <v>8</v>
      </c>
      <c r="C12" s="68" t="s">
        <v>461</v>
      </c>
      <c r="D12" s="68" t="s">
        <v>462</v>
      </c>
      <c r="E12" s="68" t="s">
        <v>463</v>
      </c>
      <c r="F12" s="68" t="s">
        <v>464</v>
      </c>
      <c r="G12" s="68" t="s">
        <v>465</v>
      </c>
      <c r="H12" s="68" t="s">
        <v>466</v>
      </c>
      <c r="I12" s="66" t="s">
        <v>467</v>
      </c>
    </row>
  </sheetData>
  <mergeCells count="2">
    <mergeCell ref="B1:H1"/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Project Overview</vt:lpstr>
      <vt:lpstr>📚 Learning Plan</vt:lpstr>
      <vt:lpstr>📅 Weekly Timeline</vt:lpstr>
      <vt:lpstr>⏱ Hours &amp; Cost</vt:lpstr>
      <vt:lpstr>⚠️ Risk Register</vt:lpstr>
      <vt:lpstr>🗓 Training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Saratbabu Thokala (Trianz)</cp:lastModifiedBy>
  <cp:revision>0</cp:revision>
  <dcterms:created xsi:type="dcterms:W3CDTF">2026-06-28T14:18:10Z</dcterms:created>
  <dcterms:modified xsi:type="dcterms:W3CDTF">2026-06-28T14:33:37Z</dcterms:modified>
  <dc:language>en-US</dc:language>
</cp:coreProperties>
</file>